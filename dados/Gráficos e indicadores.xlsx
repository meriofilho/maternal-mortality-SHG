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f8915a5c078dab/Área de Trabalho/"/>
    </mc:Choice>
  </mc:AlternateContent>
  <xr:revisionPtr revIDLastSave="398" documentId="11_AD4D361C20488DEA4E38A0B4149D79825BDEDD8F" xr6:coauthVersionLast="47" xr6:coauthVersionMax="47" xr10:uidLastSave="{55085650-68A6-4849-968B-7A26FC0CDE04}"/>
  <bookViews>
    <workbookView xWindow="-110" yWindow="-110" windowWidth="19420" windowHeight="10300" tabRatio="698" xr2:uid="{00000000-000D-0000-FFFF-FFFF00000000}"/>
  </bookViews>
  <sheets>
    <sheet name="Comparação RMM Estado x Região" sheetId="1" r:id="rId1"/>
    <sheet name="Percentual de MM" sheetId="3" r:id="rId2"/>
    <sheet name="Percentual sínd hipertensivas" sheetId="4" r:id="rId3"/>
    <sheet name="obitos maternos região de s (2)" sheetId="2" r:id="rId4"/>
    <sheet name="obitos causa ano 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4" l="1"/>
  <c r="I10" i="4"/>
  <c r="I9" i="4"/>
  <c r="I8" i="4"/>
  <c r="I7" i="4"/>
  <c r="I6" i="4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J14" i="5"/>
  <c r="I14" i="5"/>
  <c r="K13" i="5"/>
  <c r="J13" i="5"/>
  <c r="K12" i="5"/>
  <c r="J12" i="5"/>
  <c r="K11" i="5"/>
  <c r="J11" i="5"/>
  <c r="K10" i="5"/>
  <c r="J10" i="5"/>
  <c r="K9" i="5"/>
  <c r="J9" i="5"/>
  <c r="K8" i="5"/>
  <c r="K7" i="5"/>
  <c r="K6" i="5"/>
  <c r="K5" i="5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<sst xmlns="http://schemas.openxmlformats.org/spreadsheetml/2006/main" count="272" uniqueCount="92">
  <si>
    <t>Cocais</t>
  </si>
  <si>
    <t xml:space="preserve">Estado </t>
  </si>
  <si>
    <t>Estado</t>
  </si>
  <si>
    <t xml:space="preserve">Nascidos vivos </t>
  </si>
  <si>
    <t>22003 Cocais</t>
  </si>
  <si>
    <t>Comparação PI x Região</t>
  </si>
  <si>
    <t>Número de óbitos maternos</t>
  </si>
  <si>
    <t>RMM</t>
  </si>
  <si>
    <t xml:space="preserve"> Fonte: MS/SVSA/CGIAE - Sistema de Informações sobre Nascidos Vivos - SINASC</t>
  </si>
  <si>
    <t>Óbitos de mulheres em idade fértil e óbitos maternos - Piauí</t>
  </si>
  <si>
    <t>Óbitos maternos por Região de Saúde/Município e Ano do Óbito</t>
  </si>
  <si>
    <t>Período:2019-2024</t>
  </si>
  <si>
    <t>Região de Saúde/Município</t>
  </si>
  <si>
    <t>Total</t>
  </si>
  <si>
    <t>%</t>
  </si>
  <si>
    <t>22001 Carnaubais</t>
  </si>
  <si>
    <t>-</t>
  </si>
  <si>
    <t>22002 Chapada das Mangabeiras</t>
  </si>
  <si>
    <t>22004 Entre Rios</t>
  </si>
  <si>
    <t>22005 Planície Litorânea</t>
  </si>
  <si>
    <t>22006 Serra da Capivara</t>
  </si>
  <si>
    <t>22007 Tabuleiros do Alto Parnaíba</t>
  </si>
  <si>
    <t>22008 Vale do Canindé</t>
  </si>
  <si>
    <t>22009 Vale do Rio Guaribas</t>
  </si>
  <si>
    <t>22010 Vale do Sambito</t>
  </si>
  <si>
    <t>22011 Vale dos Rios Piauí e Itaueiras</t>
  </si>
  <si>
    <t>22012 Chapada Vale do Rio Itaim</t>
  </si>
  <si>
    <t xml:space="preserve"> Fonte: MS/SVSA/CGIAE - Sistema de Informações sobre Mortalidade - SIM</t>
  </si>
  <si>
    <t xml:space="preserve"> Notas:</t>
  </si>
  <si>
    <t xml:space="preserve"> </t>
  </si>
  <si>
    <t xml:space="preserve"> Dados finais disponíveis até 2024 e atualizados em 02/12/2025.</t>
  </si>
  <si>
    <t xml:space="preserve"> Todas as informações são por local de residência da falecida.</t>
  </si>
  <si>
    <t xml:space="preserve"> Para definição de óbitos de mulheres em idade fértil, óbitos maternos e óbitos maternos tardios,</t>
  </si>
  <si>
    <t xml:space="preserve"> veja as Notas Técnicas.</t>
  </si>
  <si>
    <t xml:space="preserve"> Nos casos de inconsistência entre a causa materna declarada e o momento da morte (durante a gravidez, parto ou aborto, durante o puerpério</t>
  </si>
  <si>
    <t xml:space="preserve"> até 42 dias, durante o puerpério, de 43 dias a 1 ano ou fora destes períodos), para efeito de determinação se óbito materno ou não,</t>
  </si>
  <si>
    <t xml:space="preserve"> foi priorizada a informação sobre a causa.</t>
  </si>
  <si>
    <t xml:space="preserve"> Os campos referentes ao momento da morte (43 e 44), apesar de estarem tendo sua qualidade de preenchimento melhorada,</t>
  </si>
  <si>
    <t xml:space="preserve"> apresentam ainda elevado percentual de inconsistências ou não preenchimento.</t>
  </si>
  <si>
    <t xml:space="preserve"> Em 2011, houve uma mudança no conteúdo da Declaração de Óbito, com maior detalhamento das informações coletadas. Para este ano, foram</t>
  </si>
  <si>
    <t xml:space="preserve"> utilizados simultaneamente os dois formulários. Para mais detalhes sobre as mudanças ocorridas e os seus efeitos, veja o documento</t>
  </si>
  <si>
    <t xml:space="preserve"> "Sistema de Informações sobre Mortalidade - SIM. Consolidação da base de dados de 2011".</t>
  </si>
  <si>
    <t xml:space="preserve"> No dia 01/04/2020, os arquivos do SIM referentes ao ano de notificação 2019 foram atualizados, com alteração das causas básicas de 4 registros e exclusão de 1 registro.</t>
  </si>
  <si>
    <t xml:space="preserve"> Consulte o site da Secretaria Estadual de Saúde para mais informações.</t>
  </si>
  <si>
    <t>Carnaubais</t>
  </si>
  <si>
    <t>Chapada das Mangabeiras</t>
  </si>
  <si>
    <t>Entre Rios</t>
  </si>
  <si>
    <t>Planície Litorânea</t>
  </si>
  <si>
    <t>Serra da Capivara</t>
  </si>
  <si>
    <t>Tabuleiros do Alto Parnaíba</t>
  </si>
  <si>
    <t>Vale do Canindé</t>
  </si>
  <si>
    <t>Vale do Rio Guaribas</t>
  </si>
  <si>
    <t>Vale do Sambito</t>
  </si>
  <si>
    <t>Vale dos Rios Piauí e Itaueiras</t>
  </si>
  <si>
    <t>Chapada Vale do Rio Itaim</t>
  </si>
  <si>
    <t xml:space="preserve"> Óbitos de mulheres em idade fértil e óbitos maternos - Piauí</t>
  </si>
  <si>
    <t>Óbitos maternos por Categoria CID-10 e Ano do Óbito</t>
  </si>
  <si>
    <t>Categoria CID-10</t>
  </si>
  <si>
    <t>F53   Transt mentais comport assoc puerperio NCOP</t>
  </si>
  <si>
    <t>O00   Gravidez ectopica</t>
  </si>
  <si>
    <t>O02   Outr produtos anormais da concepcao</t>
  </si>
  <si>
    <t>O10   Hipertens pre-exist complic grav parto puerp</t>
  </si>
  <si>
    <t>O13   Hipertensao gestacional s/proteinuria signif</t>
  </si>
  <si>
    <t>O14   Hipertensao gestacional c/proteinuria signif</t>
  </si>
  <si>
    <t>O15   Eclampsia</t>
  </si>
  <si>
    <t>O16   Hipertensao materna NE</t>
  </si>
  <si>
    <t>Sindromes hipertensivas na gestação</t>
  </si>
  <si>
    <t>O21   Vomitos excessivos na gravidez</t>
  </si>
  <si>
    <t>O23   Infecc do trato geniturinario na gravidez</t>
  </si>
  <si>
    <t>O24   Diabetes mellitus na gravidez</t>
  </si>
  <si>
    <t>O26   Assist materna outr complic lig predom grav</t>
  </si>
  <si>
    <t>O41   Outr transt membranas e liquido amniotico</t>
  </si>
  <si>
    <t>O42   Ruptura prematura de membranas</t>
  </si>
  <si>
    <t>O44   Placenta previa</t>
  </si>
  <si>
    <t>O45   Descolamento prematuro da placenta</t>
  </si>
  <si>
    <t>O60   Trabalho de parto pre-termo</t>
  </si>
  <si>
    <t>O62   Anormalidades da contracao uterina</t>
  </si>
  <si>
    <t>O63   Trabalho de parto prolongado</t>
  </si>
  <si>
    <t>O67   Trab parto parto compl hemorr intrapart NCOP</t>
  </si>
  <si>
    <t>O71   Outr traum obstetricos</t>
  </si>
  <si>
    <t>O72   Hemorragia pos-parto</t>
  </si>
  <si>
    <t>O74   Complic anestesia durante trab parto e parto</t>
  </si>
  <si>
    <t>O75   Outr complic do trab parto e do parto NCOP</t>
  </si>
  <si>
    <t>O85   Infecc puerperal</t>
  </si>
  <si>
    <t>O86   Outr infecc puerperais</t>
  </si>
  <si>
    <t>O87   Complic venosas no puerperio</t>
  </si>
  <si>
    <t>O88   Embolia orig obstetrica</t>
  </si>
  <si>
    <t>O90   Complic do puerperio NCOP</t>
  </si>
  <si>
    <t>O95   Morte obstetrica de causa NE</t>
  </si>
  <si>
    <t>O98   Doen inf paras mat COP compl grav part puerp</t>
  </si>
  <si>
    <t>O99   Outr doenc mat COP compl grav parto puerp</t>
  </si>
  <si>
    <t>Síndromes hipertensivas na gestação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</si>
</sst>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0" xfId="1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/>
    <xf numFmtId="0" fontId="4" fillId="2" borderId="0" xfId="0" applyFont="1" applyFill="1" applyAlignment="1">
      <alignment horizontal="center"/>
    </xf>
    <xf numFmtId="164" fontId="2" fillId="0" borderId="0" xfId="0" applyNumberFormat="1" applyFont="1"/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RMM Estado x Região'!$A$12</c:f>
              <c:strCache>
                <c:ptCount val="1"/>
                <c:pt idx="0">
                  <c:v>Estado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'Comparação RMM Estado x Região'!$B$11:$G$11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'Comparação RMM Estado x Região'!$B$12:$G$12</c:f>
              <c:numCache>
                <c:formatCode>0.0</c:formatCode>
                <c:ptCount val="6"/>
                <c:pt idx="0">
                  <c:v>85.536060751465584</c:v>
                </c:pt>
                <c:pt idx="1">
                  <c:v>88.438833491786241</c:v>
                </c:pt>
                <c:pt idx="2">
                  <c:v>128.32224107181696</c:v>
                </c:pt>
                <c:pt idx="3">
                  <c:v>87.580183208275145</c:v>
                </c:pt>
                <c:pt idx="4">
                  <c:v>54.57479119210327</c:v>
                </c:pt>
                <c:pt idx="5">
                  <c:v>88.167871627578904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5-457F-B7F7-3D5A6E547A52}"/>
            </c:ext>
          </c:extLst>
        </c:ser>
        <c:ser>
          <c:idx val="1"/>
          <c:order val="1"/>
          <c:tx>
            <c:strRef>
              <c:f>'Comparação RMM Estado x Região'!$A$13</c:f>
              <c:strCache>
                <c:ptCount val="1"/>
                <c:pt idx="0">
                  <c:v>Cocais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'Comparação RMM Estado x Região'!$B$11:$G$11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'Comparação RMM Estado x Região'!$B$13:$G$13</c:f>
              <c:numCache>
                <c:formatCode>0.0</c:formatCode>
                <c:ptCount val="6"/>
                <c:pt idx="0">
                  <c:v>88.936321593738882</c:v>
                </c:pt>
                <c:pt idx="1">
                  <c:v>90.843023255813947</c:v>
                </c:pt>
                <c:pt idx="2">
                  <c:v>124.06947890818859</c:v>
                </c:pt>
                <c:pt idx="3">
                  <c:v>38.669760247486465</c:v>
                </c:pt>
                <c:pt idx="4">
                  <c:v>19.215987701767872</c:v>
                </c:pt>
                <c:pt idx="5">
                  <c:v>59.559261465157839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5-457F-B7F7-3D5A6E547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4658703"/>
        <c:axId val="954655343"/>
      </c:barChart>
      <c:catAx>
        <c:axId val="95465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4655343"/>
        <c:crosses val="autoZero"/>
        <c:auto val="1"/>
        <c:lblAlgn val="ctr"/>
        <c:lblOffset val="100"/>
        <c:noMultiLvlLbl val="0"/>
      </c:catAx>
      <c:valAx>
        <c:axId val="9546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465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Percentual...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'Percentual de MM'!$I$4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'Percentual de MM'!$A$5:$A$16</c:f>
              <c:strCache>
                <c:ptCount val="12"/>
                <c:pt idx="0">
                  <c:v>Carnaubais</c:v>
                </c:pt>
                <c:pt idx="1">
                  <c:v>Chapada das Mangabeiras</c:v>
                </c:pt>
                <c:pt idx="2">
                  <c:v>Cocais</c:v>
                </c:pt>
                <c:pt idx="3">
                  <c:v>Entre Rios</c:v>
                </c:pt>
                <c:pt idx="4">
                  <c:v>Planície Litorânea</c:v>
                </c:pt>
                <c:pt idx="5">
                  <c:v>Serra da Capivara</c:v>
                </c:pt>
                <c:pt idx="6">
                  <c:v>Tabuleiros do Alto Parnaíba</c:v>
                </c:pt>
                <c:pt idx="7">
                  <c:v>Vale do Canindé</c:v>
                </c:pt>
                <c:pt idx="8">
                  <c:v>Vale do Rio Guaribas</c:v>
                </c:pt>
                <c:pt idx="9">
                  <c:v>Vale do Sambito</c:v>
                </c:pt>
                <c:pt idx="10">
                  <c:v>Vale dos Rios Piauí e Itaueiras</c:v>
                </c:pt>
                <c:pt idx="11">
                  <c:v>Chapada Vale do Rio Itaim</c:v>
                </c:pt>
              </c:strCache>
            </c:strRef>
          </c:cat>
          <c:val>
            <c:numRef>
              <c:f>'Percentual de MM'!$I$5:$I$16</c:f>
              <c:numCache>
                <c:formatCode>0.0</c:formatCode>
                <c:ptCount val="12"/>
                <c:pt idx="0">
                  <c:v>4.6808510638297873</c:v>
                </c:pt>
                <c:pt idx="1">
                  <c:v>8.9361702127659584</c:v>
                </c:pt>
                <c:pt idx="2">
                  <c:v>9.787234042553191</c:v>
                </c:pt>
                <c:pt idx="3">
                  <c:v>31.48936170212766</c:v>
                </c:pt>
                <c:pt idx="4">
                  <c:v>10.212765957446807</c:v>
                </c:pt>
                <c:pt idx="5">
                  <c:v>5.9574468085106389</c:v>
                </c:pt>
                <c:pt idx="6">
                  <c:v>2.9787234042553195</c:v>
                </c:pt>
                <c:pt idx="7">
                  <c:v>6.8085106382978724</c:v>
                </c:pt>
                <c:pt idx="8">
                  <c:v>5.1063829787234036</c:v>
                </c:pt>
                <c:pt idx="9">
                  <c:v>2.5531914893617018</c:v>
                </c:pt>
                <c:pt idx="10">
                  <c:v>7.6595744680851059</c:v>
                </c:pt>
                <c:pt idx="11">
                  <c:v>3.8297872340425529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2-4714-A509-FD329CF7A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7450303"/>
        <c:axId val="1187443583"/>
      </c:barChart>
      <c:catAx>
        <c:axId val="118745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443583"/>
        <c:crosses val="autoZero"/>
        <c:auto val="1"/>
        <c:lblAlgn val="ctr"/>
        <c:lblOffset val="100"/>
        <c:noMultiLvlLbl val="0"/>
      </c:catAx>
      <c:valAx>
        <c:axId val="118744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45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Percentual...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8545356624595457"/>
          <c:y val="0.20238383838383839"/>
          <c:w val="0.34587564141562738"/>
          <c:h val="0.55165417959118757"/>
        </c:manualLayout>
      </c:layout>
      <c:pieChart>
        <c:varyColors val="1"/>
        <c:ser>
          <c:idx val="0"/>
          <c:order val="0"/>
          <c:tx>
            <c:strRef>
              <c:f>'Percentual sínd hipertensivas'!$I$5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83-486A-9383-D9F2E0D4AB3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83-486A-9383-D9F2E0D4AB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83-486A-9383-D9F2E0D4AB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7.3037113205225088E-3"/>
                  <c:y val="2.44498777506112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83-486A-9383-D9F2E0D4AB34}"/>
                </c:ext>
              </c:extLst>
            </c:dLbl>
            <c:dLbl>
              <c:idx val="3"/>
              <c:layout>
                <c:manualLayout>
                  <c:x val="7.3294660086041935E-2"/>
                  <c:y val="-1.12330824172650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83-486A-9383-D9F2E0D4AB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'Percentual sínd hipertensivas'!$A$6:$A$10</c:f>
              <c:strCache>
                <c:ptCount val="5"/>
                <c:pt idx="0">
                  <c:v>O10   Hipertens pre-exist complic grav parto puerp</c:v>
                </c:pt>
                <c:pt idx="1">
                  <c:v>O13   Hipertensao gestacional s/proteinuria signif</c:v>
                </c:pt>
                <c:pt idx="2">
                  <c:v>O14   Hipertensao gestacional c/proteinuria signif</c:v>
                </c:pt>
                <c:pt idx="3">
                  <c:v>O15   Eclampsia</c:v>
                </c:pt>
                <c:pt idx="4">
                  <c:v>O16   Hipertensao materna NE</c:v>
                </c:pt>
              </c:strCache>
            </c:strRef>
          </c:cat>
          <c:val>
            <c:numRef>
              <c:f>'Percentual sínd hipertensivas'!$I$6:$I$10</c:f>
              <c:numCache>
                <c:formatCode>0.0</c:formatCode>
                <c:ptCount val="5"/>
                <c:pt idx="0">
                  <c:v>3.225806451612903</c:v>
                </c:pt>
                <c:pt idx="1">
                  <c:v>8.064516129032258</c:v>
                </c:pt>
                <c:pt idx="2">
                  <c:v>33.87096774193548</c:v>
                </c:pt>
                <c:pt idx="3">
                  <c:v>53.225806451612897</c:v>
                </c:pt>
                <c:pt idx="4">
                  <c:v>1.6129032258064515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3-486A-9383-D9F2E0D4A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102915729580664E-2"/>
          <c:y val="0.25318539727988548"/>
          <c:w val="0.47421521644816567"/>
          <c:h val="0.38368328958880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320674</xdr:colOff>
      <xdr:row>0</xdr:row>
      <xdr:rowOff>95250</xdr:rowOff>
    </xdr:from>
    <xdr:to>
      <xdr:col>16</xdr:col>
      <xdr:colOff>209550</xdr:colOff>
      <xdr:row>16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CD7826-EBB2-E79E-D6BC-9308C18CF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17</xdr:row>
      <xdr:rowOff>177800</xdr:rowOff>
    </xdr:from>
    <xdr:to>
      <xdr:col>4</xdr:col>
      <xdr:colOff>307975</xdr:colOff>
      <xdr:row>32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8CEDA2-6872-60F6-5F17-9199BCC4A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41274</xdr:colOff>
      <xdr:row>14</xdr:row>
      <xdr:rowOff>12700</xdr:rowOff>
    </xdr:from>
    <xdr:to>
      <xdr:col>4</xdr:col>
      <xdr:colOff>184150</xdr:colOff>
      <xdr:row>28</xdr:row>
      <xdr:rowOff>31750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6BD8A4-271C-0A89-1585-1021BF39B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70" zoomScaleNormal="70" workbookViewId="0">
      <selection activeCell="E20" sqref="E20"/>
    </sheetView>
  </sheetViews>
  <sheetFormatPr defaultRowHeight="14.5" x14ac:dyDescent="0.35"/>
  <cols>
    <col min="1" max="1" width="25.08984375" customWidth="1"/>
  </cols>
  <sheetData>
    <row r="1" spans="1:10" x14ac:dyDescent="0.35">
      <c r="A1" t="s">
        <v>5</v>
      </c>
    </row>
    <row r="3" spans="1:10" x14ac:dyDescent="0.35">
      <c r="A3" s="14" t="s">
        <v>6</v>
      </c>
      <c r="B3" s="15">
        <v>2019</v>
      </c>
      <c r="C3" s="15">
        <v>2020</v>
      </c>
      <c r="D3" s="15">
        <v>2021</v>
      </c>
      <c r="E3" s="15">
        <v>2022</v>
      </c>
      <c r="F3" s="15">
        <v>2023</v>
      </c>
      <c r="G3" s="15">
        <v>2024</v>
      </c>
    </row>
    <row r="4" spans="1:10" x14ac:dyDescent="0.35">
      <c r="A4" s="16" t="s">
        <v>0</v>
      </c>
      <c r="B4" s="16">
        <v>5</v>
      </c>
      <c r="C4" s="16">
        <v>5</v>
      </c>
      <c r="D4" s="16">
        <v>7</v>
      </c>
      <c r="E4" s="16">
        <v>2</v>
      </c>
      <c r="F4" s="16">
        <v>1</v>
      </c>
      <c r="G4" s="16">
        <v>3</v>
      </c>
    </row>
    <row r="5" spans="1:10" x14ac:dyDescent="0.35">
      <c r="A5" s="16" t="s">
        <v>1</v>
      </c>
      <c r="B5" s="16">
        <v>41</v>
      </c>
      <c r="C5" s="16">
        <v>40</v>
      </c>
      <c r="D5" s="16">
        <v>59</v>
      </c>
      <c r="E5" s="16">
        <v>37</v>
      </c>
      <c r="F5" s="16">
        <v>23</v>
      </c>
      <c r="G5" s="16">
        <v>35</v>
      </c>
    </row>
    <row r="6" spans="1:10" x14ac:dyDescent="0.35">
      <c r="A6" s="16"/>
      <c r="B6" s="17"/>
      <c r="C6" s="17"/>
      <c r="D6" s="17"/>
      <c r="E6" s="17"/>
      <c r="F6" s="17"/>
      <c r="G6" s="17"/>
    </row>
    <row r="7" spans="1:10" x14ac:dyDescent="0.35">
      <c r="A7" s="14" t="s">
        <v>3</v>
      </c>
      <c r="B7" s="15">
        <v>2019</v>
      </c>
      <c r="C7" s="15">
        <v>2020</v>
      </c>
      <c r="D7" s="15">
        <v>2021</v>
      </c>
      <c r="E7" s="15">
        <v>2022</v>
      </c>
      <c r="F7" s="15">
        <v>2023</v>
      </c>
      <c r="G7" s="15">
        <v>2024</v>
      </c>
    </row>
    <row r="8" spans="1:10" x14ac:dyDescent="0.35">
      <c r="A8" s="18" t="s">
        <v>0</v>
      </c>
      <c r="B8" s="19">
        <v>5622</v>
      </c>
      <c r="C8" s="19">
        <v>5504</v>
      </c>
      <c r="D8" s="19">
        <v>5642</v>
      </c>
      <c r="E8" s="19">
        <v>5172</v>
      </c>
      <c r="F8" s="19">
        <v>5204</v>
      </c>
      <c r="G8" s="19">
        <v>5037</v>
      </c>
    </row>
    <row r="9" spans="1:10" x14ac:dyDescent="0.35">
      <c r="A9" s="18" t="s">
        <v>2</v>
      </c>
      <c r="B9" s="19">
        <v>47933</v>
      </c>
      <c r="C9" s="19">
        <v>45229</v>
      </c>
      <c r="D9" s="19">
        <v>45978</v>
      </c>
      <c r="E9" s="19">
        <v>42247</v>
      </c>
      <c r="F9" s="19">
        <v>42144</v>
      </c>
      <c r="G9" s="19">
        <v>39697</v>
      </c>
    </row>
    <row r="10" spans="1:10" x14ac:dyDescent="0.35">
      <c r="A10" s="17"/>
      <c r="B10" s="17"/>
      <c r="C10" s="17"/>
      <c r="D10" s="17"/>
      <c r="E10" s="17"/>
      <c r="F10" s="17"/>
      <c r="G10" s="17"/>
    </row>
    <row r="11" spans="1:10" x14ac:dyDescent="0.35">
      <c r="A11" s="14" t="s">
        <v>7</v>
      </c>
      <c r="B11" s="15">
        <v>2019</v>
      </c>
      <c r="C11" s="15">
        <v>2020</v>
      </c>
      <c r="D11" s="15">
        <v>2021</v>
      </c>
      <c r="E11" s="15">
        <v>2022</v>
      </c>
      <c r="F11" s="15">
        <v>2023</v>
      </c>
      <c r="G11" s="15">
        <v>2024</v>
      </c>
    </row>
    <row r="12" spans="1:10" x14ac:dyDescent="0.35">
      <c r="A12" s="18" t="s">
        <v>2</v>
      </c>
      <c r="B12" s="20">
        <f>B5/B9*100000</f>
        <v>85.536060751465584</v>
      </c>
      <c r="C12" s="20">
        <f>C5/C9*100000</f>
        <v>88.438833491786241</v>
      </c>
      <c r="D12" s="20">
        <f>D5/D9*100000</f>
        <v>128.32224107181696</v>
      </c>
      <c r="E12" s="20">
        <f>E5/E9*100000</f>
        <v>87.580183208275145</v>
      </c>
      <c r="F12" s="20">
        <f>F5/F9*100000</f>
        <v>54.57479119210327</v>
      </c>
      <c r="G12" s="20">
        <f>G5/G9*100000</f>
        <v>88.167871627578904</v>
      </c>
    </row>
    <row r="13" spans="1:10" x14ac:dyDescent="0.35">
      <c r="A13" s="18" t="s">
        <v>0</v>
      </c>
      <c r="B13" s="20">
        <f>B4/B8*100000</f>
        <v>88.936321593738882</v>
      </c>
      <c r="C13" s="20">
        <f>C4/C8*100000</f>
        <v>90.843023255813947</v>
      </c>
      <c r="D13" s="20">
        <f>D4/D8*100000</f>
        <v>124.06947890818859</v>
      </c>
      <c r="E13" s="20">
        <f>E4/E8*100000</f>
        <v>38.669760247486465</v>
      </c>
      <c r="F13" s="20">
        <f>F4/F8*100000</f>
        <v>19.215987701767872</v>
      </c>
      <c r="G13" s="20">
        <f>G4/G8*100000</f>
        <v>59.559261465157839</v>
      </c>
    </row>
    <row r="14" spans="1:10" x14ac:dyDescent="0.35">
      <c r="J14" s="9"/>
    </row>
    <row r="17" spans="1:5" x14ac:dyDescent="0.35">
      <c r="A17" t="s">
        <v>8</v>
      </c>
    </row>
    <row r="18" spans="1:5" x14ac:dyDescent="0.35">
      <c r="A18" t="s">
        <v>27</v>
      </c>
      <c r="B18" s="1"/>
      <c r="C18" s="1"/>
      <c r="D18" s="1"/>
      <c r="E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40B5-219D-4FD2-974A-25C00D203BB3}">
  <dimension ref="A1:I34"/>
  <sheetViews>
    <sheetView topLeftCell="A13" workbookViewId="0">
      <selection activeCell="H32" sqref="H32"/>
    </sheetView>
  </sheetViews>
  <sheetFormatPr defaultRowHeight="14.5" x14ac:dyDescent="0.35"/>
  <cols>
    <col min="1" max="1" width="35.6328125" customWidth="1"/>
    <col min="2" max="2" width="8.7265625" customWidth="1"/>
  </cols>
  <sheetData>
    <row r="1" spans="1:9" x14ac:dyDescent="0.35">
      <c r="A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t="s">
        <v>10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t="s">
        <v>11</v>
      </c>
      <c r="B3" s="1"/>
      <c r="C3" s="1"/>
      <c r="D3" s="1"/>
      <c r="E3" s="1"/>
      <c r="F3" s="1"/>
      <c r="G3" s="1"/>
      <c r="H3" s="1"/>
      <c r="I3" s="1"/>
    </row>
    <row r="4" spans="1:9" x14ac:dyDescent="0.35">
      <c r="A4" s="8" t="s">
        <v>12</v>
      </c>
      <c r="B4" s="11">
        <v>2019</v>
      </c>
      <c r="C4" s="11">
        <v>2020</v>
      </c>
      <c r="D4" s="11">
        <v>2021</v>
      </c>
      <c r="E4" s="11">
        <v>2022</v>
      </c>
      <c r="F4" s="11">
        <v>2023</v>
      </c>
      <c r="G4" s="11">
        <v>2024</v>
      </c>
      <c r="H4" s="11" t="s">
        <v>13</v>
      </c>
      <c r="I4" s="11" t="s">
        <v>14</v>
      </c>
    </row>
    <row r="5" spans="1:9" x14ac:dyDescent="0.35">
      <c r="A5" s="7" t="s">
        <v>44</v>
      </c>
      <c r="B5" s="6">
        <v>1</v>
      </c>
      <c r="C5" s="6">
        <v>4</v>
      </c>
      <c r="D5" s="6" t="s">
        <v>16</v>
      </c>
      <c r="E5" s="6">
        <v>2</v>
      </c>
      <c r="F5" s="6">
        <v>2</v>
      </c>
      <c r="G5" s="6">
        <v>2</v>
      </c>
      <c r="H5" s="6">
        <v>11</v>
      </c>
      <c r="I5" s="13">
        <f>H5/$H$17*100</f>
        <v>4.6808510638297873</v>
      </c>
    </row>
    <row r="6" spans="1:9" x14ac:dyDescent="0.35">
      <c r="A6" s="7" t="s">
        <v>45</v>
      </c>
      <c r="B6" s="6">
        <v>3</v>
      </c>
      <c r="C6" s="6">
        <v>3</v>
      </c>
      <c r="D6" s="6">
        <v>3</v>
      </c>
      <c r="E6" s="6">
        <v>5</v>
      </c>
      <c r="F6" s="6">
        <v>1</v>
      </c>
      <c r="G6" s="6">
        <v>6</v>
      </c>
      <c r="H6" s="6">
        <v>21</v>
      </c>
      <c r="I6" s="13">
        <f t="shared" ref="I6:I17" si="0">H6/$H$17*100</f>
        <v>8.9361702127659584</v>
      </c>
    </row>
    <row r="7" spans="1:9" x14ac:dyDescent="0.35">
      <c r="A7" s="7" t="s">
        <v>0</v>
      </c>
      <c r="B7" s="6">
        <v>5</v>
      </c>
      <c r="C7" s="6">
        <v>5</v>
      </c>
      <c r="D7" s="6">
        <v>7</v>
      </c>
      <c r="E7" s="6">
        <v>2</v>
      </c>
      <c r="F7" s="6">
        <v>1</v>
      </c>
      <c r="G7" s="6">
        <v>3</v>
      </c>
      <c r="H7" s="6">
        <v>23</v>
      </c>
      <c r="I7" s="13">
        <f>H7/$H$17*100</f>
        <v>9.787234042553191</v>
      </c>
    </row>
    <row r="8" spans="1:9" x14ac:dyDescent="0.35">
      <c r="A8" s="7" t="s">
        <v>46</v>
      </c>
      <c r="B8" s="12">
        <v>15</v>
      </c>
      <c r="C8" s="12">
        <v>11</v>
      </c>
      <c r="D8" s="12">
        <v>23</v>
      </c>
      <c r="E8" s="12">
        <v>9</v>
      </c>
      <c r="F8" s="12">
        <v>9</v>
      </c>
      <c r="G8" s="12">
        <v>7</v>
      </c>
      <c r="H8" s="12">
        <v>74</v>
      </c>
      <c r="I8" s="13">
        <f>H8/$H$17*100</f>
        <v>31.48936170212766</v>
      </c>
    </row>
    <row r="9" spans="1:9" x14ac:dyDescent="0.35">
      <c r="A9" s="7" t="s">
        <v>47</v>
      </c>
      <c r="B9" s="12">
        <v>3</v>
      </c>
      <c r="C9" s="12">
        <v>2</v>
      </c>
      <c r="D9" s="12">
        <v>5</v>
      </c>
      <c r="E9" s="12">
        <v>2</v>
      </c>
      <c r="F9" s="12">
        <v>6</v>
      </c>
      <c r="G9" s="12">
        <v>6</v>
      </c>
      <c r="H9" s="12">
        <v>24</v>
      </c>
      <c r="I9" s="13">
        <f t="shared" si="0"/>
        <v>10.212765957446807</v>
      </c>
    </row>
    <row r="10" spans="1:9" x14ac:dyDescent="0.35">
      <c r="A10" s="7" t="s">
        <v>48</v>
      </c>
      <c r="B10" s="12">
        <v>3</v>
      </c>
      <c r="C10" s="12">
        <v>5</v>
      </c>
      <c r="D10" s="12">
        <v>3</v>
      </c>
      <c r="E10" s="12">
        <v>3</v>
      </c>
      <c r="F10" s="12" t="s">
        <v>16</v>
      </c>
      <c r="G10" s="12" t="s">
        <v>16</v>
      </c>
      <c r="H10" s="12">
        <v>14</v>
      </c>
      <c r="I10" s="13">
        <f t="shared" si="0"/>
        <v>5.9574468085106389</v>
      </c>
    </row>
    <row r="11" spans="1:9" x14ac:dyDescent="0.35">
      <c r="A11" s="7" t="s">
        <v>49</v>
      </c>
      <c r="B11" s="12">
        <v>1</v>
      </c>
      <c r="C11" s="12">
        <v>1</v>
      </c>
      <c r="D11" s="12">
        <v>3</v>
      </c>
      <c r="E11" s="12" t="s">
        <v>16</v>
      </c>
      <c r="F11" s="12" t="s">
        <v>16</v>
      </c>
      <c r="G11" s="12">
        <v>2</v>
      </c>
      <c r="H11" s="12">
        <v>7</v>
      </c>
      <c r="I11" s="13">
        <f t="shared" si="0"/>
        <v>2.9787234042553195</v>
      </c>
    </row>
    <row r="12" spans="1:9" x14ac:dyDescent="0.35">
      <c r="A12" s="7" t="s">
        <v>50</v>
      </c>
      <c r="B12" s="12">
        <v>3</v>
      </c>
      <c r="C12" s="12">
        <v>1</v>
      </c>
      <c r="D12" s="12">
        <v>5</v>
      </c>
      <c r="E12" s="12">
        <v>1</v>
      </c>
      <c r="F12" s="12">
        <v>2</v>
      </c>
      <c r="G12" s="12">
        <v>4</v>
      </c>
      <c r="H12" s="12">
        <v>16</v>
      </c>
      <c r="I12" s="13">
        <f t="shared" si="0"/>
        <v>6.8085106382978724</v>
      </c>
    </row>
    <row r="13" spans="1:9" x14ac:dyDescent="0.35">
      <c r="A13" s="7" t="s">
        <v>51</v>
      </c>
      <c r="B13" s="12">
        <v>1</v>
      </c>
      <c r="C13" s="12">
        <v>5</v>
      </c>
      <c r="D13" s="12" t="s">
        <v>16</v>
      </c>
      <c r="E13" s="12">
        <v>3</v>
      </c>
      <c r="F13" s="12">
        <v>1</v>
      </c>
      <c r="G13" s="12">
        <v>2</v>
      </c>
      <c r="H13" s="12">
        <v>12</v>
      </c>
      <c r="I13" s="13">
        <f t="shared" si="0"/>
        <v>5.1063829787234036</v>
      </c>
    </row>
    <row r="14" spans="1:9" x14ac:dyDescent="0.35">
      <c r="A14" s="7" t="s">
        <v>52</v>
      </c>
      <c r="B14" s="12">
        <v>4</v>
      </c>
      <c r="C14" s="12" t="s">
        <v>16</v>
      </c>
      <c r="D14" s="12">
        <v>1</v>
      </c>
      <c r="E14" s="12">
        <v>1</v>
      </c>
      <c r="F14" s="12" t="s">
        <v>16</v>
      </c>
      <c r="G14" s="12" t="s">
        <v>16</v>
      </c>
      <c r="H14" s="12">
        <v>6</v>
      </c>
      <c r="I14" s="13">
        <f t="shared" si="0"/>
        <v>2.5531914893617018</v>
      </c>
    </row>
    <row r="15" spans="1:9" x14ac:dyDescent="0.35">
      <c r="A15" s="7" t="s">
        <v>53</v>
      </c>
      <c r="B15" s="12">
        <v>2</v>
      </c>
      <c r="C15" s="12">
        <v>2</v>
      </c>
      <c r="D15" s="12">
        <v>5</v>
      </c>
      <c r="E15" s="12">
        <v>6</v>
      </c>
      <c r="F15" s="12">
        <v>1</v>
      </c>
      <c r="G15" s="12">
        <v>2</v>
      </c>
      <c r="H15" s="12">
        <v>18</v>
      </c>
      <c r="I15" s="13">
        <f t="shared" si="0"/>
        <v>7.6595744680851059</v>
      </c>
    </row>
    <row r="16" spans="1:9" x14ac:dyDescent="0.35">
      <c r="A16" s="7" t="s">
        <v>54</v>
      </c>
      <c r="B16" s="12" t="s">
        <v>16</v>
      </c>
      <c r="C16" s="12">
        <v>1</v>
      </c>
      <c r="D16" s="12">
        <v>4</v>
      </c>
      <c r="E16" s="12">
        <v>3</v>
      </c>
      <c r="F16" s="12" t="s">
        <v>16</v>
      </c>
      <c r="G16" s="12">
        <v>1</v>
      </c>
      <c r="H16" s="12">
        <v>9</v>
      </c>
      <c r="I16" s="13">
        <f t="shared" si="0"/>
        <v>3.8297872340425529</v>
      </c>
    </row>
    <row r="17" spans="1:9" x14ac:dyDescent="0.35">
      <c r="A17" s="8" t="s">
        <v>13</v>
      </c>
      <c r="B17" s="12">
        <v>41</v>
      </c>
      <c r="C17" s="12">
        <v>40</v>
      </c>
      <c r="D17" s="12">
        <v>59</v>
      </c>
      <c r="E17" s="12">
        <v>37</v>
      </c>
      <c r="F17" s="12">
        <v>23</v>
      </c>
      <c r="G17" s="12">
        <v>35</v>
      </c>
      <c r="H17" s="12">
        <v>235</v>
      </c>
      <c r="I17" s="13">
        <f t="shared" si="0"/>
        <v>100</v>
      </c>
    </row>
    <row r="19" spans="1:9" x14ac:dyDescent="0.35">
      <c r="A19" s="8"/>
      <c r="B19" s="8"/>
    </row>
    <row r="20" spans="1:9" x14ac:dyDescent="0.35">
      <c r="A20" s="5"/>
      <c r="B20" s="23"/>
    </row>
    <row r="21" spans="1:9" x14ac:dyDescent="0.35">
      <c r="A21" s="5"/>
      <c r="B21" s="24"/>
    </row>
    <row r="22" spans="1:9" x14ac:dyDescent="0.35">
      <c r="A22" s="5"/>
      <c r="B22" s="23"/>
    </row>
    <row r="23" spans="1:9" x14ac:dyDescent="0.35">
      <c r="A23" s="5"/>
      <c r="B23" s="23"/>
    </row>
    <row r="24" spans="1:9" x14ac:dyDescent="0.35">
      <c r="A24" s="5"/>
      <c r="B24" s="23"/>
    </row>
    <row r="25" spans="1:9" x14ac:dyDescent="0.35">
      <c r="A25" s="5"/>
      <c r="B25" s="25"/>
    </row>
    <row r="26" spans="1:9" x14ac:dyDescent="0.35">
      <c r="A26" s="5"/>
      <c r="B26" s="25"/>
    </row>
    <row r="27" spans="1:9" x14ac:dyDescent="0.35">
      <c r="A27" s="5"/>
      <c r="B27" s="23"/>
    </row>
    <row r="28" spans="1:9" x14ac:dyDescent="0.35">
      <c r="A28" s="5"/>
      <c r="B28" s="23"/>
    </row>
    <row r="29" spans="1:9" x14ac:dyDescent="0.35">
      <c r="A29" s="5"/>
      <c r="B29" s="23"/>
    </row>
    <row r="30" spans="1:9" x14ac:dyDescent="0.35">
      <c r="A30" s="5"/>
      <c r="B30" s="23"/>
    </row>
    <row r="31" spans="1:9" x14ac:dyDescent="0.35">
      <c r="A31" s="5"/>
      <c r="B31" s="23"/>
    </row>
    <row r="32" spans="1:9" x14ac:dyDescent="0.35">
      <c r="B32" s="22"/>
    </row>
    <row r="33" spans="1:2" x14ac:dyDescent="0.35">
      <c r="B33" s="21"/>
    </row>
    <row r="34" spans="1:2" x14ac:dyDescent="0.35">
      <c r="A34" t="s">
        <v>27</v>
      </c>
      <c r="B34" s="2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8214-3395-406F-83B9-6C4D2EEA2FD5}">
  <dimension ref="A1:J21"/>
  <sheetViews>
    <sheetView workbookViewId="0">
      <selection activeCell="G22" sqref="G22"/>
    </sheetView>
  </sheetViews>
  <sheetFormatPr defaultRowHeight="14.5" x14ac:dyDescent="0.35"/>
  <cols>
    <col min="1" max="1" width="46.453125" customWidth="1"/>
  </cols>
  <sheetData>
    <row r="1" spans="1:10" x14ac:dyDescent="0.35">
      <c r="A1" s="32" t="s">
        <v>55</v>
      </c>
      <c r="B1" s="32"/>
      <c r="C1" s="32"/>
      <c r="D1" s="32"/>
      <c r="E1" s="32"/>
      <c r="F1" s="32"/>
      <c r="G1" s="32"/>
      <c r="H1" s="32"/>
    </row>
    <row r="2" spans="1:10" x14ac:dyDescent="0.35">
      <c r="A2" s="32" t="s">
        <v>56</v>
      </c>
      <c r="B2" s="32"/>
      <c r="C2" s="32"/>
      <c r="D2" s="32"/>
      <c r="E2" s="32"/>
      <c r="F2" s="32"/>
      <c r="G2" s="32"/>
      <c r="H2" s="32"/>
    </row>
    <row r="3" spans="1:10" x14ac:dyDescent="0.35">
      <c r="A3" s="32" t="s">
        <v>11</v>
      </c>
      <c r="B3" s="32"/>
      <c r="C3" s="32"/>
      <c r="D3" s="32"/>
      <c r="E3" s="32"/>
      <c r="F3" s="32"/>
      <c r="G3" s="32"/>
      <c r="H3" s="32"/>
    </row>
    <row r="4" spans="1:10" x14ac:dyDescent="0.35">
      <c r="A4" s="32" t="s">
        <v>57</v>
      </c>
      <c r="B4" s="32"/>
      <c r="C4" s="32"/>
      <c r="D4" s="32"/>
      <c r="E4" s="32"/>
      <c r="F4" s="32"/>
      <c r="G4" s="32"/>
      <c r="H4" s="32"/>
    </row>
    <row r="5" spans="1:10" x14ac:dyDescent="0.35">
      <c r="A5" s="32" t="s">
        <v>91</v>
      </c>
      <c r="B5" s="34">
        <v>2019</v>
      </c>
      <c r="C5" s="34">
        <v>2020</v>
      </c>
      <c r="D5" s="34">
        <v>2021</v>
      </c>
      <c r="E5" s="34">
        <v>2022</v>
      </c>
      <c r="F5" s="34">
        <v>2023</v>
      </c>
      <c r="G5" s="34">
        <v>2024</v>
      </c>
      <c r="H5" s="34" t="s">
        <v>13</v>
      </c>
      <c r="I5" s="9" t="s">
        <v>14</v>
      </c>
    </row>
    <row r="6" spans="1:10" x14ac:dyDescent="0.35">
      <c r="A6" s="32" t="s">
        <v>61</v>
      </c>
      <c r="B6" s="34">
        <v>1</v>
      </c>
      <c r="C6" s="34" t="s">
        <v>16</v>
      </c>
      <c r="D6" s="34">
        <v>1</v>
      </c>
      <c r="E6" s="34" t="s">
        <v>16</v>
      </c>
      <c r="F6" s="34" t="s">
        <v>16</v>
      </c>
      <c r="G6" s="34" t="s">
        <v>16</v>
      </c>
      <c r="H6" s="34">
        <v>2</v>
      </c>
      <c r="I6" s="10">
        <f>H6/H11*100</f>
        <v>3.225806451612903</v>
      </c>
    </row>
    <row r="7" spans="1:10" x14ac:dyDescent="0.35">
      <c r="A7" s="32" t="s">
        <v>62</v>
      </c>
      <c r="B7" s="34" t="s">
        <v>16</v>
      </c>
      <c r="C7" s="34">
        <v>1</v>
      </c>
      <c r="D7" s="34" t="s">
        <v>16</v>
      </c>
      <c r="E7" s="34">
        <v>2</v>
      </c>
      <c r="F7" s="34" t="s">
        <v>16</v>
      </c>
      <c r="G7" s="34">
        <v>2</v>
      </c>
      <c r="H7" s="34">
        <v>5</v>
      </c>
      <c r="I7" s="10">
        <f>H7/H11*100</f>
        <v>8.064516129032258</v>
      </c>
    </row>
    <row r="8" spans="1:10" x14ac:dyDescent="0.35">
      <c r="A8" s="32" t="s">
        <v>63</v>
      </c>
      <c r="B8" s="34">
        <v>6</v>
      </c>
      <c r="C8" s="34">
        <v>5</v>
      </c>
      <c r="D8" s="34">
        <v>3</v>
      </c>
      <c r="E8" s="34">
        <v>4</v>
      </c>
      <c r="F8" s="34">
        <v>1</v>
      </c>
      <c r="G8" s="34">
        <v>2</v>
      </c>
      <c r="H8" s="34">
        <v>21</v>
      </c>
      <c r="I8" s="10">
        <f>H8/H11*100</f>
        <v>33.87096774193548</v>
      </c>
    </row>
    <row r="9" spans="1:10" x14ac:dyDescent="0.35">
      <c r="A9" s="32" t="s">
        <v>64</v>
      </c>
      <c r="B9" s="34">
        <v>7</v>
      </c>
      <c r="C9" s="34">
        <v>6</v>
      </c>
      <c r="D9" s="34">
        <v>4</v>
      </c>
      <c r="E9" s="34">
        <v>8</v>
      </c>
      <c r="F9" s="34">
        <v>4</v>
      </c>
      <c r="G9" s="34">
        <v>4</v>
      </c>
      <c r="H9" s="34">
        <v>33</v>
      </c>
      <c r="I9" s="10">
        <f>H9/H11*100</f>
        <v>53.225806451612897</v>
      </c>
    </row>
    <row r="10" spans="1:10" x14ac:dyDescent="0.35">
      <c r="A10" s="32" t="s">
        <v>65</v>
      </c>
      <c r="B10" s="34" t="s">
        <v>16</v>
      </c>
      <c r="C10" s="34">
        <v>1</v>
      </c>
      <c r="D10" s="34" t="s">
        <v>16</v>
      </c>
      <c r="E10" s="34" t="s">
        <v>16</v>
      </c>
      <c r="F10" s="34" t="s">
        <v>16</v>
      </c>
      <c r="G10" s="34" t="s">
        <v>16</v>
      </c>
      <c r="H10" s="34">
        <v>1</v>
      </c>
      <c r="I10" s="10">
        <f>H10/H11*100</f>
        <v>1.6129032258064515</v>
      </c>
    </row>
    <row r="11" spans="1:10" x14ac:dyDescent="0.35">
      <c r="A11" s="32"/>
      <c r="B11" s="34">
        <v>14</v>
      </c>
      <c r="C11" s="34">
        <v>13</v>
      </c>
      <c r="D11" s="34">
        <v>8</v>
      </c>
      <c r="E11" s="34">
        <v>14</v>
      </c>
      <c r="F11" s="34">
        <v>5</v>
      </c>
      <c r="G11" s="34">
        <v>8</v>
      </c>
      <c r="H11" s="34">
        <v>62</v>
      </c>
      <c r="I11" s="10">
        <f>H11/H11*100</f>
        <v>100</v>
      </c>
      <c r="J11" s="4"/>
    </row>
    <row r="12" spans="1:10" x14ac:dyDescent="0.35">
      <c r="A12" s="9"/>
      <c r="B12" s="9"/>
      <c r="C12" s="9"/>
      <c r="D12" s="9"/>
      <c r="E12" s="9"/>
      <c r="F12" s="9"/>
      <c r="G12" s="9"/>
      <c r="H12" s="9"/>
      <c r="I12" s="9"/>
    </row>
    <row r="13" spans="1:10" x14ac:dyDescent="0.35">
      <c r="A13" s="9" t="s">
        <v>27</v>
      </c>
      <c r="B13" s="9"/>
      <c r="C13" s="9"/>
      <c r="D13" s="9"/>
      <c r="E13" s="9"/>
      <c r="F13" s="9"/>
      <c r="G13" s="9"/>
      <c r="H13" s="9"/>
      <c r="I13" s="9"/>
    </row>
    <row r="16" spans="1:10" x14ac:dyDescent="0.35">
      <c r="A16" s="33"/>
      <c r="B16" s="8"/>
    </row>
    <row r="17" spans="1:2" x14ac:dyDescent="0.35">
      <c r="A17" s="32"/>
      <c r="B17" s="35"/>
    </row>
    <row r="18" spans="1:2" x14ac:dyDescent="0.35">
      <c r="A18" s="32"/>
      <c r="B18" s="36"/>
    </row>
    <row r="19" spans="1:2" x14ac:dyDescent="0.35">
      <c r="A19" s="32"/>
      <c r="B19" s="36"/>
    </row>
    <row r="20" spans="1:2" x14ac:dyDescent="0.35">
      <c r="A20" s="32"/>
      <c r="B20" s="36"/>
    </row>
    <row r="21" spans="1:2" x14ac:dyDescent="0.35">
      <c r="A21" s="32"/>
      <c r="B21" s="36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CD3B-AB5E-4E55-B743-CA9E8F0AA2A2}">
  <dimension ref="A1:I38"/>
  <sheetViews>
    <sheetView topLeftCell="A22" workbookViewId="0">
      <selection activeCell="A21" sqref="A21"/>
    </sheetView>
  </sheetViews>
  <sheetFormatPr defaultRowHeight="14.5" x14ac:dyDescent="0.35"/>
  <cols>
    <col min="1" max="1" width="33" customWidth="1"/>
    <col min="2" max="9" width="8.7265625" style="1"/>
  </cols>
  <sheetData>
    <row r="1" spans="1:9" x14ac:dyDescent="0.35">
      <c r="A1" t="s">
        <v>9</v>
      </c>
    </row>
    <row r="2" spans="1:9" x14ac:dyDescent="0.35">
      <c r="A2" t="s">
        <v>10</v>
      </c>
    </row>
    <row r="3" spans="1:9" x14ac:dyDescent="0.35">
      <c r="A3" t="s">
        <v>11</v>
      </c>
    </row>
    <row r="4" spans="1:9" x14ac:dyDescent="0.35">
      <c r="A4" t="s">
        <v>12</v>
      </c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 t="s">
        <v>13</v>
      </c>
      <c r="I4" s="1" t="s">
        <v>14</v>
      </c>
    </row>
    <row r="5" spans="1:9" x14ac:dyDescent="0.35">
      <c r="A5" t="s">
        <v>15</v>
      </c>
      <c r="B5" s="1">
        <v>1</v>
      </c>
      <c r="C5" s="1">
        <v>4</v>
      </c>
      <c r="D5" s="1" t="s">
        <v>16</v>
      </c>
      <c r="E5" s="1">
        <v>2</v>
      </c>
      <c r="F5" s="1">
        <v>2</v>
      </c>
      <c r="G5" s="1">
        <v>2</v>
      </c>
      <c r="H5" s="1">
        <v>11</v>
      </c>
      <c r="I5" s="21">
        <f>H5/$H$17*100</f>
        <v>4.6808510638297873</v>
      </c>
    </row>
    <row r="6" spans="1:9" x14ac:dyDescent="0.35">
      <c r="A6" t="s">
        <v>17</v>
      </c>
      <c r="B6" s="1">
        <v>3</v>
      </c>
      <c r="C6" s="1">
        <v>3</v>
      </c>
      <c r="D6" s="1">
        <v>3</v>
      </c>
      <c r="E6" s="1">
        <v>5</v>
      </c>
      <c r="F6" s="1">
        <v>1</v>
      </c>
      <c r="G6" s="1">
        <v>6</v>
      </c>
      <c r="H6" s="1">
        <v>21</v>
      </c>
      <c r="I6" s="21">
        <f t="shared" ref="I6:I17" si="0">H6/$H$17*100</f>
        <v>8.9361702127659584</v>
      </c>
    </row>
    <row r="7" spans="1:9" x14ac:dyDescent="0.35">
      <c r="A7" s="2" t="s">
        <v>4</v>
      </c>
      <c r="B7" s="3">
        <v>5</v>
      </c>
      <c r="C7" s="3">
        <v>5</v>
      </c>
      <c r="D7" s="3">
        <v>7</v>
      </c>
      <c r="E7" s="3">
        <v>2</v>
      </c>
      <c r="F7" s="3">
        <v>1</v>
      </c>
      <c r="G7" s="3">
        <v>3</v>
      </c>
      <c r="H7" s="3">
        <v>23</v>
      </c>
      <c r="I7" s="21">
        <f>H7/$H$17*100</f>
        <v>9.787234042553191</v>
      </c>
    </row>
    <row r="8" spans="1:9" x14ac:dyDescent="0.35">
      <c r="A8" t="s">
        <v>18</v>
      </c>
      <c r="B8" s="1">
        <v>15</v>
      </c>
      <c r="C8" s="1">
        <v>11</v>
      </c>
      <c r="D8" s="1">
        <v>23</v>
      </c>
      <c r="E8" s="1">
        <v>9</v>
      </c>
      <c r="F8" s="1">
        <v>9</v>
      </c>
      <c r="G8" s="1">
        <v>7</v>
      </c>
      <c r="H8" s="1">
        <v>74</v>
      </c>
      <c r="I8" s="21">
        <f>H8/$H$17*100</f>
        <v>31.48936170212766</v>
      </c>
    </row>
    <row r="9" spans="1:9" x14ac:dyDescent="0.35">
      <c r="A9" t="s">
        <v>19</v>
      </c>
      <c r="B9" s="1">
        <v>3</v>
      </c>
      <c r="C9" s="1">
        <v>2</v>
      </c>
      <c r="D9" s="1">
        <v>5</v>
      </c>
      <c r="E9" s="1">
        <v>2</v>
      </c>
      <c r="F9" s="1">
        <v>6</v>
      </c>
      <c r="G9" s="1">
        <v>6</v>
      </c>
      <c r="H9" s="1">
        <v>24</v>
      </c>
      <c r="I9" s="21">
        <f t="shared" si="0"/>
        <v>10.212765957446807</v>
      </c>
    </row>
    <row r="10" spans="1:9" x14ac:dyDescent="0.35">
      <c r="A10" t="s">
        <v>20</v>
      </c>
      <c r="B10" s="1">
        <v>3</v>
      </c>
      <c r="C10" s="1">
        <v>5</v>
      </c>
      <c r="D10" s="1">
        <v>3</v>
      </c>
      <c r="E10" s="1">
        <v>3</v>
      </c>
      <c r="F10" s="1" t="s">
        <v>16</v>
      </c>
      <c r="G10" s="1" t="s">
        <v>16</v>
      </c>
      <c r="H10" s="1">
        <v>14</v>
      </c>
      <c r="I10" s="21">
        <f t="shared" si="0"/>
        <v>5.9574468085106389</v>
      </c>
    </row>
    <row r="11" spans="1:9" x14ac:dyDescent="0.35">
      <c r="A11" t="s">
        <v>21</v>
      </c>
      <c r="B11" s="1">
        <v>1</v>
      </c>
      <c r="C11" s="1">
        <v>1</v>
      </c>
      <c r="D11" s="1">
        <v>3</v>
      </c>
      <c r="E11" s="1" t="s">
        <v>16</v>
      </c>
      <c r="F11" s="1" t="s">
        <v>16</v>
      </c>
      <c r="G11" s="1">
        <v>2</v>
      </c>
      <c r="H11" s="1">
        <v>7</v>
      </c>
      <c r="I11" s="21">
        <f t="shared" si="0"/>
        <v>2.9787234042553195</v>
      </c>
    </row>
    <row r="12" spans="1:9" x14ac:dyDescent="0.35">
      <c r="A12" t="s">
        <v>22</v>
      </c>
      <c r="B12" s="1">
        <v>3</v>
      </c>
      <c r="C12" s="1">
        <v>1</v>
      </c>
      <c r="D12" s="1">
        <v>5</v>
      </c>
      <c r="E12" s="1">
        <v>1</v>
      </c>
      <c r="F12" s="1">
        <v>2</v>
      </c>
      <c r="G12" s="1">
        <v>4</v>
      </c>
      <c r="H12" s="1">
        <v>16</v>
      </c>
      <c r="I12" s="21">
        <f t="shared" si="0"/>
        <v>6.8085106382978724</v>
      </c>
    </row>
    <row r="13" spans="1:9" x14ac:dyDescent="0.35">
      <c r="A13" t="s">
        <v>23</v>
      </c>
      <c r="B13" s="1">
        <v>1</v>
      </c>
      <c r="C13" s="1">
        <v>5</v>
      </c>
      <c r="D13" s="1" t="s">
        <v>16</v>
      </c>
      <c r="E13" s="1">
        <v>3</v>
      </c>
      <c r="F13" s="1">
        <v>1</v>
      </c>
      <c r="G13" s="1">
        <v>2</v>
      </c>
      <c r="H13" s="1">
        <v>12</v>
      </c>
      <c r="I13" s="21">
        <f t="shared" si="0"/>
        <v>5.1063829787234036</v>
      </c>
    </row>
    <row r="14" spans="1:9" x14ac:dyDescent="0.35">
      <c r="A14" t="s">
        <v>24</v>
      </c>
      <c r="B14" s="1">
        <v>4</v>
      </c>
      <c r="C14" s="1" t="s">
        <v>16</v>
      </c>
      <c r="D14" s="1">
        <v>1</v>
      </c>
      <c r="E14" s="1">
        <v>1</v>
      </c>
      <c r="F14" s="1" t="s">
        <v>16</v>
      </c>
      <c r="G14" s="1" t="s">
        <v>16</v>
      </c>
      <c r="H14" s="1">
        <v>6</v>
      </c>
      <c r="I14" s="21">
        <f t="shared" si="0"/>
        <v>2.5531914893617018</v>
      </c>
    </row>
    <row r="15" spans="1:9" x14ac:dyDescent="0.35">
      <c r="A15" t="s">
        <v>25</v>
      </c>
      <c r="B15" s="1">
        <v>2</v>
      </c>
      <c r="C15" s="1">
        <v>2</v>
      </c>
      <c r="D15" s="1">
        <v>5</v>
      </c>
      <c r="E15" s="1">
        <v>6</v>
      </c>
      <c r="F15" s="1">
        <v>1</v>
      </c>
      <c r="G15" s="1">
        <v>2</v>
      </c>
      <c r="H15" s="1">
        <v>18</v>
      </c>
      <c r="I15" s="21">
        <f t="shared" si="0"/>
        <v>7.6595744680851059</v>
      </c>
    </row>
    <row r="16" spans="1:9" x14ac:dyDescent="0.35">
      <c r="A16" t="s">
        <v>26</v>
      </c>
      <c r="B16" s="1" t="s">
        <v>16</v>
      </c>
      <c r="C16" s="1">
        <v>1</v>
      </c>
      <c r="D16" s="1">
        <v>4</v>
      </c>
      <c r="E16" s="1">
        <v>3</v>
      </c>
      <c r="F16" s="1" t="s">
        <v>16</v>
      </c>
      <c r="G16" s="1">
        <v>1</v>
      </c>
      <c r="H16" s="1">
        <v>9</v>
      </c>
      <c r="I16" s="21">
        <f t="shared" si="0"/>
        <v>3.8297872340425529</v>
      </c>
    </row>
    <row r="17" spans="1:9" x14ac:dyDescent="0.35">
      <c r="A17" t="s">
        <v>13</v>
      </c>
      <c r="B17" s="1">
        <v>41</v>
      </c>
      <c r="C17" s="1">
        <v>40</v>
      </c>
      <c r="D17" s="1">
        <v>59</v>
      </c>
      <c r="E17" s="1">
        <v>37</v>
      </c>
      <c r="F17" s="1">
        <v>23</v>
      </c>
      <c r="G17" s="1">
        <v>35</v>
      </c>
      <c r="H17" s="1">
        <v>235</v>
      </c>
      <c r="I17" s="21">
        <f t="shared" si="0"/>
        <v>100</v>
      </c>
    </row>
    <row r="18" spans="1:9" x14ac:dyDescent="0.35">
      <c r="I18" s="21"/>
    </row>
    <row r="19" spans="1:9" x14ac:dyDescent="0.35">
      <c r="I19" s="21"/>
    </row>
    <row r="20" spans="1:9" x14ac:dyDescent="0.35">
      <c r="I20" s="21"/>
    </row>
    <row r="21" spans="1:9" x14ac:dyDescent="0.35">
      <c r="A21" t="s">
        <v>27</v>
      </c>
    </row>
    <row r="22" spans="1:9" x14ac:dyDescent="0.35">
      <c r="A22" t="s">
        <v>28</v>
      </c>
    </row>
    <row r="23" spans="1:9" x14ac:dyDescent="0.35">
      <c r="A23" t="s">
        <v>29</v>
      </c>
    </row>
    <row r="24" spans="1:9" x14ac:dyDescent="0.35">
      <c r="A24" t="s">
        <v>30</v>
      </c>
    </row>
    <row r="25" spans="1:9" x14ac:dyDescent="0.35">
      <c r="A25" t="s">
        <v>31</v>
      </c>
    </row>
    <row r="26" spans="1:9" x14ac:dyDescent="0.35">
      <c r="A26" t="s">
        <v>32</v>
      </c>
    </row>
    <row r="27" spans="1:9" x14ac:dyDescent="0.35">
      <c r="A27" t="s">
        <v>33</v>
      </c>
    </row>
    <row r="28" spans="1:9" x14ac:dyDescent="0.35">
      <c r="A28" t="s">
        <v>34</v>
      </c>
    </row>
    <row r="29" spans="1:9" x14ac:dyDescent="0.35">
      <c r="A29" t="s">
        <v>35</v>
      </c>
    </row>
    <row r="30" spans="1:9" x14ac:dyDescent="0.35">
      <c r="A30" t="s">
        <v>36</v>
      </c>
    </row>
    <row r="31" spans="1:9" x14ac:dyDescent="0.35">
      <c r="A31" t="s">
        <v>37</v>
      </c>
    </row>
    <row r="32" spans="1:9" x14ac:dyDescent="0.35">
      <c r="A32" t="s">
        <v>38</v>
      </c>
    </row>
    <row r="33" spans="1:1" x14ac:dyDescent="0.35">
      <c r="A33" t="s">
        <v>39</v>
      </c>
    </row>
    <row r="34" spans="1:1" x14ac:dyDescent="0.35">
      <c r="A34" t="s">
        <v>40</v>
      </c>
    </row>
    <row r="35" spans="1:1" x14ac:dyDescent="0.35">
      <c r="A35" t="s">
        <v>41</v>
      </c>
    </row>
    <row r="36" spans="1:1" x14ac:dyDescent="0.35">
      <c r="A36" t="s">
        <v>42</v>
      </c>
    </row>
    <row r="37" spans="1:1" x14ac:dyDescent="0.35">
      <c r="A37" t="s">
        <v>29</v>
      </c>
    </row>
    <row r="38" spans="1:1" x14ac:dyDescent="0.35">
      <c r="A38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B9E7-F3C3-442B-86CA-B5BBC3E795C2}">
  <sheetPr>
    <tabColor rgb="FFFFFF00"/>
  </sheetPr>
  <dimension ref="A1:K59"/>
  <sheetViews>
    <sheetView zoomScale="85" zoomScaleNormal="85" workbookViewId="0">
      <selection activeCell="J14" sqref="J14"/>
    </sheetView>
  </sheetViews>
  <sheetFormatPr defaultRowHeight="14.5" x14ac:dyDescent="0.35"/>
  <cols>
    <col min="1" max="1" width="56.81640625" customWidth="1"/>
    <col min="2" max="9" width="8.7265625" style="1"/>
  </cols>
  <sheetData>
    <row r="1" spans="1:11" x14ac:dyDescent="0.35">
      <c r="A1" t="s">
        <v>55</v>
      </c>
    </row>
    <row r="2" spans="1:11" x14ac:dyDescent="0.35">
      <c r="A2" t="s">
        <v>56</v>
      </c>
    </row>
    <row r="3" spans="1:11" x14ac:dyDescent="0.35">
      <c r="A3" t="s">
        <v>11</v>
      </c>
    </row>
    <row r="4" spans="1:11" x14ac:dyDescent="0.35">
      <c r="A4" t="s">
        <v>57</v>
      </c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 t="s">
        <v>13</v>
      </c>
    </row>
    <row r="5" spans="1:11" x14ac:dyDescent="0.35">
      <c r="A5" t="s">
        <v>58</v>
      </c>
      <c r="B5" s="1">
        <v>1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>
        <v>1</v>
      </c>
      <c r="I5" s="21"/>
      <c r="K5" s="4">
        <f>H5/$H$40*100</f>
        <v>0.42553191489361702</v>
      </c>
    </row>
    <row r="6" spans="1:11" x14ac:dyDescent="0.35">
      <c r="A6" t="s">
        <v>59</v>
      </c>
      <c r="B6" s="1" t="s">
        <v>16</v>
      </c>
      <c r="C6" s="1" t="s">
        <v>16</v>
      </c>
      <c r="D6" s="1">
        <v>4</v>
      </c>
      <c r="E6" s="1" t="s">
        <v>16</v>
      </c>
      <c r="F6" s="1" t="s">
        <v>16</v>
      </c>
      <c r="G6" s="1">
        <v>1</v>
      </c>
      <c r="H6" s="1">
        <v>5</v>
      </c>
      <c r="I6" s="21"/>
      <c r="K6" s="4">
        <f t="shared" ref="K6:K40" si="0">H6/$H$40*100</f>
        <v>2.1276595744680851</v>
      </c>
    </row>
    <row r="7" spans="1:11" x14ac:dyDescent="0.35">
      <c r="A7" t="s">
        <v>60</v>
      </c>
      <c r="B7" s="1">
        <v>1</v>
      </c>
      <c r="C7" s="1">
        <v>2</v>
      </c>
      <c r="D7" s="1" t="s">
        <v>16</v>
      </c>
      <c r="E7" s="1">
        <v>1</v>
      </c>
      <c r="F7" s="1" t="s">
        <v>16</v>
      </c>
      <c r="G7" s="1" t="s">
        <v>16</v>
      </c>
      <c r="H7" s="1">
        <v>4</v>
      </c>
      <c r="I7" s="21"/>
      <c r="K7" s="4">
        <f t="shared" si="0"/>
        <v>1.7021276595744681</v>
      </c>
    </row>
    <row r="8" spans="1:11" x14ac:dyDescent="0.35">
      <c r="B8" s="1">
        <v>2019</v>
      </c>
      <c r="C8" s="1">
        <v>2020</v>
      </c>
      <c r="D8" s="1">
        <v>2021</v>
      </c>
      <c r="E8" s="1">
        <v>2022</v>
      </c>
      <c r="F8" s="1">
        <v>2023</v>
      </c>
      <c r="G8" s="1">
        <v>2024</v>
      </c>
      <c r="H8" s="1" t="s">
        <v>13</v>
      </c>
      <c r="I8" s="21"/>
      <c r="J8" t="s">
        <v>14</v>
      </c>
      <c r="K8" s="4" t="e">
        <f t="shared" si="0"/>
        <v>#VALUE!</v>
      </c>
    </row>
    <row r="9" spans="1:11" x14ac:dyDescent="0.35">
      <c r="A9" t="s">
        <v>61</v>
      </c>
      <c r="B9" s="1">
        <v>1</v>
      </c>
      <c r="C9" s="1" t="s">
        <v>16</v>
      </c>
      <c r="D9" s="1">
        <v>1</v>
      </c>
      <c r="E9" s="1" t="s">
        <v>16</v>
      </c>
      <c r="F9" s="1" t="s">
        <v>16</v>
      </c>
      <c r="G9" s="1" t="s">
        <v>16</v>
      </c>
      <c r="H9" s="1">
        <v>2</v>
      </c>
      <c r="I9" s="21"/>
      <c r="J9" s="4">
        <f>H9/$H$14*100</f>
        <v>3.225806451612903</v>
      </c>
      <c r="K9" s="4">
        <f t="shared" si="0"/>
        <v>0.85106382978723405</v>
      </c>
    </row>
    <row r="10" spans="1:11" x14ac:dyDescent="0.35">
      <c r="A10" t="s">
        <v>62</v>
      </c>
      <c r="B10" s="1" t="s">
        <v>16</v>
      </c>
      <c r="C10" s="1">
        <v>1</v>
      </c>
      <c r="D10" s="1" t="s">
        <v>16</v>
      </c>
      <c r="E10" s="1">
        <v>2</v>
      </c>
      <c r="F10" s="1" t="s">
        <v>16</v>
      </c>
      <c r="G10" s="1">
        <v>2</v>
      </c>
      <c r="H10" s="1">
        <v>5</v>
      </c>
      <c r="I10" s="21"/>
      <c r="J10" s="4">
        <f t="shared" ref="J10:J14" si="1">H10/$H$14*100</f>
        <v>8.064516129032258</v>
      </c>
      <c r="K10" s="4">
        <f t="shared" si="0"/>
        <v>2.1276595744680851</v>
      </c>
    </row>
    <row r="11" spans="1:11" x14ac:dyDescent="0.35">
      <c r="A11" t="s">
        <v>63</v>
      </c>
      <c r="B11" s="1">
        <v>6</v>
      </c>
      <c r="C11" s="1">
        <v>5</v>
      </c>
      <c r="D11" s="1">
        <v>3</v>
      </c>
      <c r="E11" s="1">
        <v>4</v>
      </c>
      <c r="F11" s="1">
        <v>1</v>
      </c>
      <c r="G11" s="1">
        <v>2</v>
      </c>
      <c r="H11" s="1">
        <v>21</v>
      </c>
      <c r="I11" s="21"/>
      <c r="J11" s="4">
        <f t="shared" si="1"/>
        <v>33.87096774193548</v>
      </c>
      <c r="K11" s="4">
        <f t="shared" si="0"/>
        <v>8.9361702127659584</v>
      </c>
    </row>
    <row r="12" spans="1:11" x14ac:dyDescent="0.35">
      <c r="A12" s="26" t="s">
        <v>64</v>
      </c>
      <c r="B12" s="27">
        <v>7</v>
      </c>
      <c r="C12" s="27">
        <v>6</v>
      </c>
      <c r="D12" s="27">
        <v>4</v>
      </c>
      <c r="E12" s="27">
        <v>8</v>
      </c>
      <c r="F12" s="27">
        <v>4</v>
      </c>
      <c r="G12" s="27">
        <v>4</v>
      </c>
      <c r="H12" s="27">
        <v>33</v>
      </c>
      <c r="I12" s="28"/>
      <c r="J12" s="4">
        <f t="shared" si="1"/>
        <v>53.225806451612897</v>
      </c>
      <c r="K12" s="29">
        <f t="shared" si="0"/>
        <v>14.042553191489363</v>
      </c>
    </row>
    <row r="13" spans="1:11" x14ac:dyDescent="0.35">
      <c r="A13" t="s">
        <v>65</v>
      </c>
      <c r="B13" s="1" t="s">
        <v>16</v>
      </c>
      <c r="C13" s="1">
        <v>1</v>
      </c>
      <c r="D13" s="1" t="s">
        <v>16</v>
      </c>
      <c r="E13" s="1" t="s">
        <v>16</v>
      </c>
      <c r="F13" s="1" t="s">
        <v>16</v>
      </c>
      <c r="G13" s="1" t="s">
        <v>16</v>
      </c>
      <c r="H13" s="1">
        <v>1</v>
      </c>
      <c r="I13" s="21"/>
      <c r="J13" s="4">
        <f t="shared" si="1"/>
        <v>1.6129032258064515</v>
      </c>
      <c r="K13" s="4">
        <f t="shared" si="0"/>
        <v>0.42553191489361702</v>
      </c>
    </row>
    <row r="14" spans="1:11" x14ac:dyDescent="0.35">
      <c r="A14" s="26" t="s">
        <v>66</v>
      </c>
      <c r="B14" s="27">
        <v>14</v>
      </c>
      <c r="C14" s="27">
        <v>13</v>
      </c>
      <c r="D14" s="27">
        <v>8</v>
      </c>
      <c r="E14" s="27">
        <v>14</v>
      </c>
      <c r="F14" s="27">
        <v>5</v>
      </c>
      <c r="G14" s="27">
        <v>8</v>
      </c>
      <c r="H14" s="30">
        <v>62</v>
      </c>
      <c r="I14" s="21">
        <f>H14/H40*100</f>
        <v>26.382978723404253</v>
      </c>
      <c r="J14">
        <f t="shared" si="1"/>
        <v>100</v>
      </c>
      <c r="K14" s="4"/>
    </row>
    <row r="15" spans="1:11" x14ac:dyDescent="0.35">
      <c r="A15" s="8"/>
      <c r="B15" s="11"/>
      <c r="C15" s="11"/>
      <c r="D15" s="11"/>
      <c r="E15" s="11"/>
      <c r="F15" s="11"/>
      <c r="G15" s="11"/>
      <c r="H15" s="11"/>
      <c r="I15" s="21"/>
      <c r="K15" s="4">
        <f t="shared" si="0"/>
        <v>0</v>
      </c>
    </row>
    <row r="16" spans="1:11" x14ac:dyDescent="0.35">
      <c r="A16" t="s">
        <v>67</v>
      </c>
      <c r="B16" s="1" t="s">
        <v>16</v>
      </c>
      <c r="C16" s="1">
        <v>1</v>
      </c>
      <c r="D16" s="1" t="s">
        <v>16</v>
      </c>
      <c r="E16" s="1" t="s">
        <v>16</v>
      </c>
      <c r="F16" s="1" t="s">
        <v>16</v>
      </c>
      <c r="G16" s="1" t="s">
        <v>16</v>
      </c>
      <c r="H16" s="1">
        <v>1</v>
      </c>
      <c r="I16" s="21"/>
      <c r="K16" s="4">
        <f t="shared" si="0"/>
        <v>0.42553191489361702</v>
      </c>
    </row>
    <row r="17" spans="1:11" x14ac:dyDescent="0.35">
      <c r="A17" t="s">
        <v>68</v>
      </c>
      <c r="B17" s="1" t="s">
        <v>16</v>
      </c>
      <c r="C17" s="1" t="s">
        <v>16</v>
      </c>
      <c r="D17" s="1" t="s">
        <v>16</v>
      </c>
      <c r="E17" s="1" t="s">
        <v>16</v>
      </c>
      <c r="F17" s="1">
        <v>2</v>
      </c>
      <c r="G17" s="1">
        <v>1</v>
      </c>
      <c r="H17" s="1">
        <v>3</v>
      </c>
      <c r="I17" s="21"/>
      <c r="K17" s="4">
        <f t="shared" si="0"/>
        <v>1.2765957446808509</v>
      </c>
    </row>
    <row r="18" spans="1:11" x14ac:dyDescent="0.35">
      <c r="A18" t="s">
        <v>69</v>
      </c>
      <c r="B18" s="1" t="s">
        <v>16</v>
      </c>
      <c r="C18" s="1">
        <v>1</v>
      </c>
      <c r="D18" s="1">
        <v>2</v>
      </c>
      <c r="E18" s="1">
        <v>1</v>
      </c>
      <c r="F18" s="1">
        <v>2</v>
      </c>
      <c r="G18" s="1">
        <v>1</v>
      </c>
      <c r="H18" s="1">
        <v>7</v>
      </c>
      <c r="I18" s="21"/>
      <c r="K18" s="4">
        <f t="shared" si="0"/>
        <v>2.9787234042553195</v>
      </c>
    </row>
    <row r="19" spans="1:11" x14ac:dyDescent="0.35">
      <c r="A19" t="s">
        <v>70</v>
      </c>
      <c r="B19" s="1" t="s">
        <v>16</v>
      </c>
      <c r="C19" s="1" t="s">
        <v>16</v>
      </c>
      <c r="D19" s="1">
        <v>1</v>
      </c>
      <c r="E19" s="1" t="s">
        <v>16</v>
      </c>
      <c r="F19" s="1" t="s">
        <v>16</v>
      </c>
      <c r="G19" s="1">
        <v>1</v>
      </c>
      <c r="H19" s="1">
        <v>2</v>
      </c>
      <c r="I19" s="21"/>
      <c r="K19" s="4">
        <f t="shared" si="0"/>
        <v>0.85106382978723405</v>
      </c>
    </row>
    <row r="20" spans="1:11" x14ac:dyDescent="0.35">
      <c r="A20" t="s">
        <v>71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>
        <v>1</v>
      </c>
      <c r="H20" s="1">
        <v>1</v>
      </c>
      <c r="I20" s="21"/>
      <c r="K20" s="4">
        <f t="shared" si="0"/>
        <v>0.42553191489361702</v>
      </c>
    </row>
    <row r="21" spans="1:11" x14ac:dyDescent="0.35">
      <c r="A21" t="s">
        <v>72</v>
      </c>
      <c r="B21" s="1" t="s">
        <v>16</v>
      </c>
      <c r="C21" s="1" t="s">
        <v>16</v>
      </c>
      <c r="D21" s="1" t="s">
        <v>16</v>
      </c>
      <c r="E21" s="1" t="s">
        <v>16</v>
      </c>
      <c r="F21" s="1">
        <v>2</v>
      </c>
      <c r="G21" s="1" t="s">
        <v>16</v>
      </c>
      <c r="H21" s="1">
        <v>2</v>
      </c>
      <c r="I21" s="21"/>
      <c r="K21" s="4">
        <f t="shared" si="0"/>
        <v>0.85106382978723405</v>
      </c>
    </row>
    <row r="22" spans="1:11" x14ac:dyDescent="0.35">
      <c r="A22" t="s">
        <v>73</v>
      </c>
      <c r="B22" s="1">
        <v>1</v>
      </c>
      <c r="C22" s="1" t="s">
        <v>16</v>
      </c>
      <c r="D22" s="1" t="s">
        <v>16</v>
      </c>
      <c r="E22" s="1">
        <v>1</v>
      </c>
      <c r="F22" s="1" t="s">
        <v>16</v>
      </c>
      <c r="G22" s="1">
        <v>1</v>
      </c>
      <c r="H22" s="1">
        <v>3</v>
      </c>
      <c r="I22" s="21"/>
      <c r="K22" s="4">
        <f t="shared" si="0"/>
        <v>1.2765957446808509</v>
      </c>
    </row>
    <row r="23" spans="1:11" x14ac:dyDescent="0.35">
      <c r="A23" t="s">
        <v>74</v>
      </c>
      <c r="B23" s="1">
        <v>1</v>
      </c>
      <c r="C23" s="1">
        <v>2</v>
      </c>
      <c r="D23" s="1">
        <v>1</v>
      </c>
      <c r="E23" s="1" t="s">
        <v>16</v>
      </c>
      <c r="F23" s="1" t="s">
        <v>16</v>
      </c>
      <c r="G23" s="1">
        <v>1</v>
      </c>
      <c r="H23" s="1">
        <v>5</v>
      </c>
      <c r="I23" s="21"/>
      <c r="K23" s="4">
        <f t="shared" si="0"/>
        <v>2.1276595744680851</v>
      </c>
    </row>
    <row r="24" spans="1:11" x14ac:dyDescent="0.35">
      <c r="A24" t="s">
        <v>75</v>
      </c>
      <c r="B24" s="1" t="s">
        <v>16</v>
      </c>
      <c r="C24" s="1">
        <v>1</v>
      </c>
      <c r="D24" s="1" t="s">
        <v>16</v>
      </c>
      <c r="E24" s="1" t="s">
        <v>16</v>
      </c>
      <c r="F24" s="1" t="s">
        <v>16</v>
      </c>
      <c r="G24" s="1" t="s">
        <v>16</v>
      </c>
      <c r="H24" s="1">
        <v>1</v>
      </c>
      <c r="I24" s="21"/>
      <c r="K24" s="4">
        <f t="shared" si="0"/>
        <v>0.42553191489361702</v>
      </c>
    </row>
    <row r="25" spans="1:11" x14ac:dyDescent="0.35">
      <c r="A25" t="s">
        <v>76</v>
      </c>
      <c r="B25" s="1">
        <v>2</v>
      </c>
      <c r="C25" s="1" t="s">
        <v>16</v>
      </c>
      <c r="D25" s="1" t="s">
        <v>16</v>
      </c>
      <c r="E25" s="1">
        <v>1</v>
      </c>
      <c r="F25" s="1">
        <v>1</v>
      </c>
      <c r="G25" s="1">
        <v>5</v>
      </c>
      <c r="H25" s="1">
        <v>9</v>
      </c>
      <c r="I25" s="21"/>
      <c r="K25" s="4">
        <f t="shared" si="0"/>
        <v>3.8297872340425529</v>
      </c>
    </row>
    <row r="26" spans="1:11" x14ac:dyDescent="0.35">
      <c r="A26" t="s">
        <v>77</v>
      </c>
      <c r="B26" s="1" t="s">
        <v>16</v>
      </c>
      <c r="C26" s="1" t="s">
        <v>16</v>
      </c>
      <c r="D26" s="1" t="s">
        <v>16</v>
      </c>
      <c r="E26" s="1">
        <v>1</v>
      </c>
      <c r="F26" s="1" t="s">
        <v>16</v>
      </c>
      <c r="G26" s="1" t="s">
        <v>16</v>
      </c>
      <c r="H26" s="1">
        <v>1</v>
      </c>
      <c r="I26" s="21"/>
      <c r="K26" s="4">
        <f t="shared" si="0"/>
        <v>0.42553191489361702</v>
      </c>
    </row>
    <row r="27" spans="1:11" x14ac:dyDescent="0.35">
      <c r="A27" t="s">
        <v>78</v>
      </c>
      <c r="B27" s="1" t="s">
        <v>16</v>
      </c>
      <c r="C27" s="1">
        <v>1</v>
      </c>
      <c r="D27" s="1" t="s">
        <v>16</v>
      </c>
      <c r="E27" s="1">
        <v>1</v>
      </c>
      <c r="F27" s="1" t="s">
        <v>16</v>
      </c>
      <c r="G27" s="1" t="s">
        <v>16</v>
      </c>
      <c r="H27" s="1">
        <v>2</v>
      </c>
      <c r="I27" s="21"/>
      <c r="K27" s="4">
        <f t="shared" si="0"/>
        <v>0.85106382978723405</v>
      </c>
    </row>
    <row r="28" spans="1:11" x14ac:dyDescent="0.35">
      <c r="A28" t="s">
        <v>79</v>
      </c>
      <c r="B28" s="1">
        <v>1</v>
      </c>
      <c r="C28" s="1" t="s">
        <v>16</v>
      </c>
      <c r="D28" s="1">
        <v>1</v>
      </c>
      <c r="E28" s="1" t="s">
        <v>16</v>
      </c>
      <c r="F28" s="1">
        <v>1</v>
      </c>
      <c r="G28" s="1" t="s">
        <v>16</v>
      </c>
      <c r="H28" s="1">
        <v>3</v>
      </c>
      <c r="I28" s="21"/>
      <c r="K28" s="4">
        <f t="shared" si="0"/>
        <v>1.2765957446808509</v>
      </c>
    </row>
    <row r="29" spans="1:11" x14ac:dyDescent="0.35">
      <c r="A29" t="s">
        <v>80</v>
      </c>
      <c r="B29" s="1">
        <v>1</v>
      </c>
      <c r="C29" s="1">
        <v>2</v>
      </c>
      <c r="D29" s="1">
        <v>1</v>
      </c>
      <c r="E29" s="1">
        <v>3</v>
      </c>
      <c r="F29" s="1" t="s">
        <v>16</v>
      </c>
      <c r="G29" s="1">
        <v>1</v>
      </c>
      <c r="H29" s="1">
        <v>8</v>
      </c>
      <c r="I29" s="21"/>
      <c r="K29" s="4">
        <f t="shared" si="0"/>
        <v>3.4042553191489362</v>
      </c>
    </row>
    <row r="30" spans="1:11" x14ac:dyDescent="0.35">
      <c r="A30" t="s">
        <v>81</v>
      </c>
      <c r="B30" s="1" t="s">
        <v>16</v>
      </c>
      <c r="C30" s="1">
        <v>1</v>
      </c>
      <c r="D30" s="1" t="s">
        <v>16</v>
      </c>
      <c r="E30" s="1" t="s">
        <v>16</v>
      </c>
      <c r="F30" s="1" t="s">
        <v>16</v>
      </c>
      <c r="G30" s="1" t="s">
        <v>16</v>
      </c>
      <c r="H30" s="1">
        <v>1</v>
      </c>
      <c r="I30" s="21"/>
      <c r="K30" s="4">
        <f t="shared" si="0"/>
        <v>0.42553191489361702</v>
      </c>
    </row>
    <row r="31" spans="1:11" x14ac:dyDescent="0.35">
      <c r="A31" t="s">
        <v>82</v>
      </c>
      <c r="B31" s="1">
        <v>5</v>
      </c>
      <c r="C31" s="1" t="s">
        <v>16</v>
      </c>
      <c r="D31" s="1">
        <v>1</v>
      </c>
      <c r="E31" s="1">
        <v>2</v>
      </c>
      <c r="F31" s="1" t="s">
        <v>16</v>
      </c>
      <c r="G31" s="1" t="s">
        <v>16</v>
      </c>
      <c r="H31" s="1">
        <v>8</v>
      </c>
      <c r="I31" s="21"/>
      <c r="K31" s="4">
        <f t="shared" si="0"/>
        <v>3.4042553191489362</v>
      </c>
    </row>
    <row r="32" spans="1:11" x14ac:dyDescent="0.35">
      <c r="A32" s="26" t="s">
        <v>83</v>
      </c>
      <c r="B32" s="27">
        <v>6</v>
      </c>
      <c r="C32" s="27">
        <v>2</v>
      </c>
      <c r="D32" s="27">
        <v>4</v>
      </c>
      <c r="E32" s="27">
        <v>1</v>
      </c>
      <c r="F32" s="27" t="s">
        <v>16</v>
      </c>
      <c r="G32" s="27">
        <v>1</v>
      </c>
      <c r="H32" s="27">
        <v>14</v>
      </c>
      <c r="I32" s="28"/>
      <c r="K32" s="31">
        <f t="shared" si="0"/>
        <v>5.9574468085106389</v>
      </c>
    </row>
    <row r="33" spans="1:11" x14ac:dyDescent="0.35">
      <c r="A33" t="s">
        <v>84</v>
      </c>
      <c r="B33" s="1" t="s">
        <v>16</v>
      </c>
      <c r="C33" s="1" t="s">
        <v>16</v>
      </c>
      <c r="D33" s="1">
        <v>2</v>
      </c>
      <c r="E33" s="1" t="s">
        <v>16</v>
      </c>
      <c r="F33" s="1" t="s">
        <v>16</v>
      </c>
      <c r="G33" s="1" t="s">
        <v>16</v>
      </c>
      <c r="H33" s="1">
        <v>2</v>
      </c>
      <c r="I33" s="21"/>
      <c r="K33" s="4">
        <f t="shared" si="0"/>
        <v>0.85106382978723405</v>
      </c>
    </row>
    <row r="34" spans="1:11" x14ac:dyDescent="0.35">
      <c r="A34" t="s">
        <v>85</v>
      </c>
      <c r="B34" s="1">
        <v>1</v>
      </c>
      <c r="C34" s="1" t="s">
        <v>16</v>
      </c>
      <c r="D34" s="1" t="s">
        <v>16</v>
      </c>
      <c r="E34" s="1" t="s">
        <v>16</v>
      </c>
      <c r="F34" s="1">
        <v>2</v>
      </c>
      <c r="G34" s="1">
        <v>2</v>
      </c>
      <c r="H34" s="1">
        <v>5</v>
      </c>
      <c r="I34" s="21"/>
      <c r="K34" s="4">
        <f t="shared" si="0"/>
        <v>2.1276595744680851</v>
      </c>
    </row>
    <row r="35" spans="1:11" x14ac:dyDescent="0.35">
      <c r="A35" t="s">
        <v>86</v>
      </c>
      <c r="B35" s="1">
        <v>1</v>
      </c>
      <c r="C35" s="1">
        <v>2</v>
      </c>
      <c r="D35" s="1">
        <v>2</v>
      </c>
      <c r="E35" s="1">
        <v>1</v>
      </c>
      <c r="F35" s="1">
        <v>1</v>
      </c>
      <c r="G35" s="1">
        <v>2</v>
      </c>
      <c r="H35" s="1">
        <v>9</v>
      </c>
      <c r="I35" s="21"/>
      <c r="K35" s="4">
        <f t="shared" si="0"/>
        <v>3.8297872340425529</v>
      </c>
    </row>
    <row r="36" spans="1:11" x14ac:dyDescent="0.35">
      <c r="A36" t="s">
        <v>87</v>
      </c>
      <c r="B36" s="1">
        <v>1</v>
      </c>
      <c r="C36" s="1" t="s">
        <v>16</v>
      </c>
      <c r="D36" s="1">
        <v>2</v>
      </c>
      <c r="E36" s="1" t="s">
        <v>16</v>
      </c>
      <c r="F36" s="1">
        <v>2</v>
      </c>
      <c r="G36" s="1" t="s">
        <v>16</v>
      </c>
      <c r="H36" s="1">
        <v>5</v>
      </c>
      <c r="I36" s="21"/>
      <c r="K36" s="4">
        <f t="shared" si="0"/>
        <v>2.1276595744680851</v>
      </c>
    </row>
    <row r="37" spans="1:11" x14ac:dyDescent="0.35">
      <c r="A37" t="s">
        <v>88</v>
      </c>
      <c r="B37" s="1" t="s">
        <v>16</v>
      </c>
      <c r="C37" s="1">
        <v>1</v>
      </c>
      <c r="D37" s="1">
        <v>2</v>
      </c>
      <c r="E37" s="1">
        <v>1</v>
      </c>
      <c r="F37" s="1" t="s">
        <v>16</v>
      </c>
      <c r="G37" s="1">
        <v>1</v>
      </c>
      <c r="H37" s="1">
        <v>5</v>
      </c>
      <c r="I37" s="21"/>
      <c r="K37" s="4">
        <f t="shared" si="0"/>
        <v>2.1276595744680851</v>
      </c>
    </row>
    <row r="38" spans="1:11" x14ac:dyDescent="0.35">
      <c r="A38" s="26" t="s">
        <v>89</v>
      </c>
      <c r="B38" s="27" t="s">
        <v>16</v>
      </c>
      <c r="C38" s="27">
        <v>7</v>
      </c>
      <c r="D38" s="27">
        <v>20</v>
      </c>
      <c r="E38" s="27">
        <v>1</v>
      </c>
      <c r="F38" s="27" t="s">
        <v>16</v>
      </c>
      <c r="G38" s="27">
        <v>1</v>
      </c>
      <c r="H38" s="27">
        <v>29</v>
      </c>
      <c r="I38" s="28"/>
      <c r="K38" s="31">
        <f t="shared" si="0"/>
        <v>12.340425531914894</v>
      </c>
    </row>
    <row r="39" spans="1:11" x14ac:dyDescent="0.35">
      <c r="A39" s="26" t="s">
        <v>90</v>
      </c>
      <c r="B39" s="27">
        <v>5</v>
      </c>
      <c r="C39" s="27">
        <v>4</v>
      </c>
      <c r="D39" s="27">
        <v>8</v>
      </c>
      <c r="E39" s="27">
        <v>8</v>
      </c>
      <c r="F39" s="27">
        <v>5</v>
      </c>
      <c r="G39" s="27">
        <v>7</v>
      </c>
      <c r="H39" s="27">
        <v>37</v>
      </c>
      <c r="I39" s="28"/>
      <c r="K39" s="31">
        <f t="shared" si="0"/>
        <v>15.74468085106383</v>
      </c>
    </row>
    <row r="40" spans="1:11" x14ac:dyDescent="0.35">
      <c r="A40" t="s">
        <v>13</v>
      </c>
      <c r="B40" s="1">
        <v>41</v>
      </c>
      <c r="C40" s="1">
        <v>40</v>
      </c>
      <c r="D40" s="1">
        <v>59</v>
      </c>
      <c r="E40" s="1">
        <v>37</v>
      </c>
      <c r="F40" s="1">
        <v>23</v>
      </c>
      <c r="G40" s="1">
        <v>35</v>
      </c>
      <c r="H40" s="1">
        <v>235</v>
      </c>
      <c r="K40" s="4">
        <f t="shared" si="0"/>
        <v>100</v>
      </c>
    </row>
    <row r="42" spans="1:11" x14ac:dyDescent="0.35">
      <c r="A42" t="s">
        <v>27</v>
      </c>
    </row>
    <row r="43" spans="1:11" x14ac:dyDescent="0.35">
      <c r="A43" t="s">
        <v>28</v>
      </c>
    </row>
    <row r="44" spans="1:11" x14ac:dyDescent="0.35">
      <c r="A44" t="s">
        <v>29</v>
      </c>
    </row>
    <row r="45" spans="1:11" x14ac:dyDescent="0.35">
      <c r="A45" t="s">
        <v>30</v>
      </c>
    </row>
    <row r="46" spans="1:11" x14ac:dyDescent="0.35">
      <c r="A46" t="s">
        <v>31</v>
      </c>
    </row>
    <row r="47" spans="1:11" x14ac:dyDescent="0.35">
      <c r="A47" t="s">
        <v>32</v>
      </c>
    </row>
    <row r="48" spans="1:1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29</v>
      </c>
    </row>
    <row r="59" spans="1:1" x14ac:dyDescent="0.35">
      <c r="A59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Comparação RMM Estado x Região</vt:lpstr>
      <vt:lpstr>Percentual de MM</vt:lpstr>
      <vt:lpstr>Percentual sínd hipertensivas</vt:lpstr>
      <vt:lpstr>obitos maternos região de s (2)</vt:lpstr>
      <vt:lpstr>obitos causa ano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Régia</dc:creator>
  <cp:lastModifiedBy>Lorena Régia</cp:lastModifiedBy>
  <dcterms:created xsi:type="dcterms:W3CDTF">2015-06-05T18:19:34Z</dcterms:created>
  <dcterms:modified xsi:type="dcterms:W3CDTF">2026-06-11T23:40:15Z</dcterms:modified>
</cp:coreProperties>
</file>