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OCRUZ\Downloads\"/>
    </mc:Choice>
  </mc:AlternateContent>
  <xr:revisionPtr revIDLastSave="0" documentId="13_ncr:1_{6E53364A-FFA4-4971-9FB9-59ECF337FF82}" xr6:coauthVersionLast="45" xr6:coauthVersionMax="45" xr10:uidLastSave="{00000000-0000-0000-0000-000000000000}"/>
  <bookViews>
    <workbookView xWindow="-120" yWindow="-120" windowWidth="20730" windowHeight="11160" firstSheet="9" activeTab="12" xr2:uid="{00000000-000D-0000-FFFF-FFFF00000000}"/>
  </bookViews>
  <sheets>
    <sheet name="sim_cnv_mat10pi091246191_36_186" sheetId="1" r:id="rId1"/>
    <sheet name="obitos maternos região de s (2)" sheetId="11" r:id="rId2"/>
    <sheet name="obitos causa ano" sheetId="2" r:id="rId3"/>
    <sheet name="obitos causa ano (2)" sheetId="3" r:id="rId4"/>
    <sheet name="fx etaria" sheetId="4" r:id="rId5"/>
    <sheet name="local ocorrencia" sheetId="5" r:id="rId6"/>
    <sheet name="escolaridade" sheetId="6" r:id="rId7"/>
    <sheet name="raça cor" sheetId="7" r:id="rId8"/>
    <sheet name="causa obstetrica" sheetId="8" r:id="rId9"/>
    <sheet name="ob materno investigado" sheetId="9" r:id="rId10"/>
    <sheet name="obitos maternos região de saúde" sheetId="10" r:id="rId11"/>
    <sheet name="graf mm" sheetId="15" r:id="rId12"/>
    <sheet name="Gráfico1" sheetId="16" r:id="rId13"/>
    <sheet name="nascidso vivos pi" sheetId="12" r:id="rId14"/>
    <sheet name="Planilha12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11" i="12" l="1"/>
  <c r="AC11" i="12"/>
  <c r="AD11" i="12"/>
  <c r="AE11" i="12"/>
  <c r="AF11" i="12"/>
  <c r="AG11" i="12"/>
  <c r="AA11" i="12"/>
  <c r="AB10" i="12"/>
  <c r="AC10" i="12"/>
  <c r="AD10" i="12"/>
  <c r="AE10" i="12"/>
  <c r="AF10" i="12"/>
  <c r="AG10" i="12"/>
  <c r="AA10" i="12"/>
  <c r="B38" i="8"/>
  <c r="S18" i="12" l="1"/>
  <c r="N22" i="12"/>
  <c r="O22" i="12"/>
  <c r="P22" i="12"/>
  <c r="Q22" i="12"/>
  <c r="R22" i="12"/>
  <c r="M22" i="12"/>
  <c r="I7" i="11"/>
  <c r="I8" i="11"/>
  <c r="I6" i="11"/>
  <c r="I9" i="11"/>
  <c r="I10" i="11"/>
  <c r="I11" i="11"/>
  <c r="I12" i="11"/>
  <c r="I13" i="11"/>
  <c r="I14" i="11"/>
  <c r="I15" i="11"/>
  <c r="I16" i="11"/>
  <c r="I17" i="11"/>
  <c r="I5" i="11"/>
  <c r="K6" i="3"/>
  <c r="K7" i="3"/>
  <c r="K8" i="3"/>
  <c r="K9" i="3"/>
  <c r="K10" i="3"/>
  <c r="K11" i="3"/>
  <c r="K12" i="3"/>
  <c r="K13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5" i="3"/>
  <c r="J10" i="3"/>
  <c r="J11" i="3"/>
  <c r="J12" i="3"/>
  <c r="J13" i="3"/>
  <c r="J14" i="3"/>
  <c r="J9" i="3"/>
  <c r="I14" i="3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" i="2"/>
</calcChain>
</file>

<file path=xl/sharedStrings.xml><?xml version="1.0" encoding="utf-8"?>
<sst xmlns="http://schemas.openxmlformats.org/spreadsheetml/2006/main" count="2066" uniqueCount="228">
  <si>
    <t xml:space="preserve"> Óbitos de mulheres em idade fértil e óbitos maternos - Piauí</t>
  </si>
  <si>
    <t>Óbitos maternos por Categoria CID-10 e Ano do Óbito</t>
  </si>
  <si>
    <t>Período:2019-2024</t>
  </si>
  <si>
    <t>Categoria CID-10</t>
  </si>
  <si>
    <t>Total</t>
  </si>
  <si>
    <t>F53   Transt mentais comport assoc puerperio NCOP</t>
  </si>
  <si>
    <t>-</t>
  </si>
  <si>
    <t>O00   Gravidez ectopica</t>
  </si>
  <si>
    <t>O02   Outr produtos anormais da concepcao</t>
  </si>
  <si>
    <t>O10   Hipertens pre-exist complic grav parto puerp</t>
  </si>
  <si>
    <t>O13   Hipertensao gestacional s/proteinuria signif</t>
  </si>
  <si>
    <t>O14   Hipertensao gestacional c/proteinuria signif</t>
  </si>
  <si>
    <t>O15   Eclampsia</t>
  </si>
  <si>
    <t>O16   Hipertensao materna NE</t>
  </si>
  <si>
    <t>O21   Vomitos excessivos na gravidez</t>
  </si>
  <si>
    <t>O23   Infecc do trato geniturinario na gravidez</t>
  </si>
  <si>
    <t>O24   Diabetes mellitus na gravidez</t>
  </si>
  <si>
    <t>O26   Assist materna outr complic lig predom grav</t>
  </si>
  <si>
    <t>O41   Outr transt membranas e liquido amniotico</t>
  </si>
  <si>
    <t>O42   Ruptura prematura de membranas</t>
  </si>
  <si>
    <t>O44   Placenta previa</t>
  </si>
  <si>
    <t>O45   Descolamento prematuro da placenta</t>
  </si>
  <si>
    <t>O60   Trabalho de parto pre-termo</t>
  </si>
  <si>
    <t>O62   Anormalidades da contracao uterina</t>
  </si>
  <si>
    <t>O63   Trabalho de parto prolongado</t>
  </si>
  <si>
    <t>O67   Trab parto parto compl hemorr intrapart NCOP</t>
  </si>
  <si>
    <t>O71   Outr traum obstetricos</t>
  </si>
  <si>
    <t>O72   Hemorragia pos-parto</t>
  </si>
  <si>
    <t>O74   Complic anestesia durante trab parto e parto</t>
  </si>
  <si>
    <t>O75   Outr complic do trab parto e do parto NCOP</t>
  </si>
  <si>
    <t>O85   Infecc puerperal</t>
  </si>
  <si>
    <t>O86   Outr infecc puerperais</t>
  </si>
  <si>
    <t>O87   Complic venosas no puerperio</t>
  </si>
  <si>
    <t>O88   Embolia orig obstetrica</t>
  </si>
  <si>
    <t>O90   Complic do puerperio NCOP</t>
  </si>
  <si>
    <t>O95   Morte obstetrica de causa NE</t>
  </si>
  <si>
    <t>O98   Doen inf paras mat COP compl grav part puerp</t>
  </si>
  <si>
    <t>O99   Outr doenc mat COP compl grav parto puerp</t>
  </si>
  <si>
    <t xml:space="preserve"> Fonte: MS/SVSA/CGIAE - Sistema de Informações sobre Mortalidade - SIM</t>
  </si>
  <si>
    <t xml:space="preserve"> Notas:</t>
  </si>
  <si>
    <t xml:space="preserve"> </t>
  </si>
  <si>
    <t xml:space="preserve"> Dados finais disponíveis até 2024 e atualizados em 02/12/2025.</t>
  </si>
  <si>
    <t xml:space="preserve"> Todas as informações são por local de residência da falecida.</t>
  </si>
  <si>
    <t xml:space="preserve"> Para definição de óbitos de mulheres em idade fértil, óbitos maternos e óbitos maternos tardios,</t>
  </si>
  <si>
    <t xml:space="preserve"> veja as Notas Técnicas.</t>
  </si>
  <si>
    <t xml:space="preserve"> Nos casos de inconsistência entre a causa materna declarada e o momento da morte (durante a gravidez, parto ou aborto, durante o puerpério</t>
  </si>
  <si>
    <t xml:space="preserve"> até 42 dias, durante o puerpério, de 43 dias a 1 ano ou fora destes períodos), para efeito de determinação se óbito materno ou não,</t>
  </si>
  <si>
    <t xml:space="preserve"> foi priorizada a informação sobre a causa.</t>
  </si>
  <si>
    <t xml:space="preserve"> Os campos referentes ao momento da morte (43 e 44), apesar de estarem tendo sua qualidade de preenchimento melhorada,</t>
  </si>
  <si>
    <t xml:space="preserve"> apresentam ainda elevado percentual de inconsistências ou não preenchimento.</t>
  </si>
  <si>
    <t xml:space="preserve"> Em 2011, houve uma mudança no conteúdo da Declaração de Óbito, com maior detalhamento das informações coletadas. Para este ano, foram</t>
  </si>
  <si>
    <t xml:space="preserve"> utilizados simultaneamente os dois formulários. Para mais detalhes sobre as mudanças ocorridas e os seus efeitos, veja o documento</t>
  </si>
  <si>
    <t xml:space="preserve"> "Sistema de Informações sobre Mortalidade - SIM. Consolidação da base de dados de 2011".</t>
  </si>
  <si>
    <t xml:space="preserve"> No dia 01/04/2020, os arquivos do SIM referentes ao ano de notificação 2019 foram atualizados, com alteração das causas básicas de 4 registros e exclusão de 1 registro.</t>
  </si>
  <si>
    <t xml:space="preserve"> Consulte o site da Secretaria Estadual de Saúde para mais informações.</t>
  </si>
  <si>
    <t>Sindromes hipertensivas na gestação</t>
  </si>
  <si>
    <t>%</t>
  </si>
  <si>
    <t>Óbitos maternos por Categoria CID-10 e Faixa Etária</t>
  </si>
  <si>
    <t>10 a 14 anos</t>
  </si>
  <si>
    <t>15 a 19 anos</t>
  </si>
  <si>
    <t>20 a 29 anos</t>
  </si>
  <si>
    <t>30 a 39 anos</t>
  </si>
  <si>
    <t>40 a 49 anos</t>
  </si>
  <si>
    <t>Óbitos maternos por Categoria CID-10 e Local ocorrência</t>
  </si>
  <si>
    <t>Hospital</t>
  </si>
  <si>
    <t>Outro estabelecimento de saúde</t>
  </si>
  <si>
    <t>Domicílio</t>
  </si>
  <si>
    <t>Via pública</t>
  </si>
  <si>
    <t>Outros</t>
  </si>
  <si>
    <t>Ignorado</t>
  </si>
  <si>
    <t>Óbitos maternos por Categoria CID-10 e Escolaridade</t>
  </si>
  <si>
    <t>Nenhuma</t>
  </si>
  <si>
    <t>1 a 3 anos</t>
  </si>
  <si>
    <t>4 a 7 anos</t>
  </si>
  <si>
    <t>8 a 11 anos</t>
  </si>
  <si>
    <t>12 anos e mais</t>
  </si>
  <si>
    <t>Óbitos maternos por Categoria CID-10 e Cor/raça</t>
  </si>
  <si>
    <t>Branca</t>
  </si>
  <si>
    <t>Preta</t>
  </si>
  <si>
    <t>Parda</t>
  </si>
  <si>
    <t>Óbitos maternos por Categoria CID-10 e Tipo causa obstétr</t>
  </si>
  <si>
    <t>Morte materna obstétrica direta</t>
  </si>
  <si>
    <t>Morte materna obstétrica indireta</t>
  </si>
  <si>
    <t>Morte materna obstétrica não especificada</t>
  </si>
  <si>
    <t>Óbitos maternos por Categoria CID-10 e Óbito investigado</t>
  </si>
  <si>
    <t>Óbito investigado, com ficha síntese informada</t>
  </si>
  <si>
    <t>Óbito investigado, sem ficha síntese informada</t>
  </si>
  <si>
    <t>Óbito não investigado</t>
  </si>
  <si>
    <t>Óbitos maternos por Região de Saúde/Município e Ano do Óbito</t>
  </si>
  <si>
    <t>Região de Saúde/Município</t>
  </si>
  <si>
    <t>22001 Carnaubais</t>
  </si>
  <si>
    <t>.....  SIGEFREDO PACHECO</t>
  </si>
  <si>
    <t>.....  CASTELO DO PIAUI</t>
  </si>
  <si>
    <t>.....  SAO JOAO DA SERRA</t>
  </si>
  <si>
    <t>.....  ASSUNCAO DO PIAUI</t>
  </si>
  <si>
    <t>.....  CABECEIRAS DO PIAUI</t>
  </si>
  <si>
    <t>.....  CAMPO MAIOR</t>
  </si>
  <si>
    <t>22002 Chapada das Mangabeiras</t>
  </si>
  <si>
    <t>.....  SANTA LUZ</t>
  </si>
  <si>
    <t>.....  REDENCAO DO GURGUEIA</t>
  </si>
  <si>
    <t>.....  PARNAGUA</t>
  </si>
  <si>
    <t>.....  JULIO BORGES</t>
  </si>
  <si>
    <t>.....  SAO GONCALO DO GURGUEIA</t>
  </si>
  <si>
    <t>.....  CRISTALANDIA DO PIAUI</t>
  </si>
  <si>
    <t>.....  PALMEIRA DO PIAUI</t>
  </si>
  <si>
    <t>.....  GILBUES</t>
  </si>
  <si>
    <t>.....  CURRAIS</t>
  </si>
  <si>
    <t>.....  BOM JESUS</t>
  </si>
  <si>
    <t>.....  CURIMATA</t>
  </si>
  <si>
    <t>.....  CORRENTE</t>
  </si>
  <si>
    <t>.....  SANTA FILOMENA</t>
  </si>
  <si>
    <t>22003 Cocais</t>
  </si>
  <si>
    <t>.....  MILTON BRANDAO</t>
  </si>
  <si>
    <t>.....  NOSSA SENHORA DOS REMEDIOS</t>
  </si>
  <si>
    <t>.....  PIRACURUCA</t>
  </si>
  <si>
    <t>.....  LUZILANDIA</t>
  </si>
  <si>
    <t>.....  ESPERANTINA</t>
  </si>
  <si>
    <t>.....  BARRAS</t>
  </si>
  <si>
    <t>.....  JOAQUIM PIRES</t>
  </si>
  <si>
    <t>.....  PEDRO II</t>
  </si>
  <si>
    <t>.....  PIRIPIRI</t>
  </si>
  <si>
    <t>.....  SAO JOAO DA FRONTEIRA</t>
  </si>
  <si>
    <t>.....  JOCA MARQUES</t>
  </si>
  <si>
    <t>.....  SAO JOAO DO ARRAIAL</t>
  </si>
  <si>
    <t>.....  MADEIRO</t>
  </si>
  <si>
    <t>22004 Entre Rios</t>
  </si>
  <si>
    <t>.....  BARRO DURO</t>
  </si>
  <si>
    <t>.....  AGRICOLANDIA</t>
  </si>
  <si>
    <t>.....  AGUA BRANCA</t>
  </si>
  <si>
    <t>.....  SAO PEDRO DO PIAUI</t>
  </si>
  <si>
    <t>.....  ALTOS</t>
  </si>
  <si>
    <t>.....  TERESINA</t>
  </si>
  <si>
    <t>.....  PALMEIRAIS</t>
  </si>
  <si>
    <t>.....  BENEDITINOS</t>
  </si>
  <si>
    <t>.....  MIGUEL ALVES</t>
  </si>
  <si>
    <t>.....  UNIAO</t>
  </si>
  <si>
    <t>.....  NAZARIA</t>
  </si>
  <si>
    <t>.....  JOSE DE FREITAS</t>
  </si>
  <si>
    <t>.....  DEMERVAL LOBAO</t>
  </si>
  <si>
    <t>.....  MONSENHOR GIL</t>
  </si>
  <si>
    <t>22005 Planície Litorânea</t>
  </si>
  <si>
    <t>.....  CARAUBAS DO PIAUI</t>
  </si>
  <si>
    <t>.....  CAJUEIRO DA PRAIA</t>
  </si>
  <si>
    <t>.....  PARNAIBA</t>
  </si>
  <si>
    <t>.....  LUIS CORREIA</t>
  </si>
  <si>
    <t>.....  COCAL</t>
  </si>
  <si>
    <t>22006 Serra da Capivara</t>
  </si>
  <si>
    <t>.....  VARZEA BRANCA</t>
  </si>
  <si>
    <t>.....  SAO JOAO DO PIAUI</t>
  </si>
  <si>
    <t>.....  CAPITAO GERVASIO OLIVEIRA</t>
  </si>
  <si>
    <t>.....  SAO RAIMUNDO NONATO</t>
  </si>
  <si>
    <t>.....  CAMPO ALEGRE DO FIDALGO</t>
  </si>
  <si>
    <t>22007 Tabuleiros do Alto Parnaíba</t>
  </si>
  <si>
    <t>.....  BAIXA GRANDE DO RIBEIRO</t>
  </si>
  <si>
    <t>.....  SEBASTIAO LEAL</t>
  </si>
  <si>
    <t>.....  URUCUI</t>
  </si>
  <si>
    <t>22008 Vale do Canindé</t>
  </si>
  <si>
    <t>.....  SANTO INACIO DO PIAUI</t>
  </si>
  <si>
    <t>.....  BELA VISTA DO PIAUI</t>
  </si>
  <si>
    <t>.....  OEIRAS</t>
  </si>
  <si>
    <t>.....  TANQUE DO PIAUI</t>
  </si>
  <si>
    <t>.....  SIMPLICIO MENDES</t>
  </si>
  <si>
    <t>.....  ISAIAS COELHO</t>
  </si>
  <si>
    <t>.....  CAJAZEIRAS DO PIAUI</t>
  </si>
  <si>
    <t>.....  SAO FRANCISCO DE ASSIS DO PIAUI</t>
  </si>
  <si>
    <t>.....  COLONIA DO PIAUI</t>
  </si>
  <si>
    <t>22009 Vale do Rio Guaribas</t>
  </si>
  <si>
    <t>.....  PICOS</t>
  </si>
  <si>
    <t>.....  PIO IX</t>
  </si>
  <si>
    <t>.....  VILA NOVA DO PIAUI</t>
  </si>
  <si>
    <t>.....  DOM EXPEDITO LOPES</t>
  </si>
  <si>
    <t>.....  SANTA CRUZ DO PIAUI</t>
  </si>
  <si>
    <t>.....  IPIRANGA DO PIAUI</t>
  </si>
  <si>
    <t>.....  SAO JOAO DA CANABRAVA</t>
  </si>
  <si>
    <t>.....  PAQUETA</t>
  </si>
  <si>
    <t>22010 Vale do Sambito</t>
  </si>
  <si>
    <t>.....  PIMENTEIRAS</t>
  </si>
  <si>
    <t>.....  VALENCA DO PIAUI</t>
  </si>
  <si>
    <t>.....  AROAZES</t>
  </si>
  <si>
    <t>.....  PRATA DO PIAUI</t>
  </si>
  <si>
    <t>.....  FRANCINOPOLIS</t>
  </si>
  <si>
    <t>22011 Vale dos Rios Piauí e Itaueiras</t>
  </si>
  <si>
    <t>.....  RIO GRANDE DO PIAUI</t>
  </si>
  <si>
    <t>.....  NAZARE DO PIAUI</t>
  </si>
  <si>
    <t>.....  FLORIANO</t>
  </si>
  <si>
    <t>.....  MANOEL EMIDIO</t>
  </si>
  <si>
    <t>.....  FRANCISCO AYRES</t>
  </si>
  <si>
    <t>.....  COLONIA DO GURGUEIA</t>
  </si>
  <si>
    <t>.....  PAVUSSU</t>
  </si>
  <si>
    <t>.....  ARRAIAL</t>
  </si>
  <si>
    <t>.....  BERTOLINIA</t>
  </si>
  <si>
    <t>.....  SOCORRO DO PIAUI</t>
  </si>
  <si>
    <t>.....  SAO FRANCISCO DO PIAUI</t>
  </si>
  <si>
    <t>22012 Chapada Vale do Rio Itaim</t>
  </si>
  <si>
    <t>.....  QUEIMADA NOVA</t>
  </si>
  <si>
    <t>.....  ACAUA</t>
  </si>
  <si>
    <t>.....  JAICOS</t>
  </si>
  <si>
    <t>.....  BETANIA DO PIAUI</t>
  </si>
  <si>
    <t>.....  PAULISTANA</t>
  </si>
  <si>
    <t xml:space="preserve"> Nascidos vivos - Piauí</t>
  </si>
  <si>
    <t>Nascim p/resid.mãe por Região de Saúde (CIR) e Ano do nascimento</t>
  </si>
  <si>
    <t>Região de Saúde (CIR)</t>
  </si>
  <si>
    <t>Ignorado - PI</t>
  </si>
  <si>
    <t xml:space="preserve"> Fonte: MS/SVSA/CGIAE - Sistema de Informações sobre Nascidos Vivos - SINASC</t>
  </si>
  <si>
    <t xml:space="preserve"> Em 2011, houve uma mudança no conteúdo da Declaração de Nascidos Vivos, com maior detalhamento das informações coletadas. Para este ano, foram</t>
  </si>
  <si>
    <t xml:space="preserve"> "Consolidação do Sistema de Informações sobre Nascidos Vivos - 2011".</t>
  </si>
  <si>
    <t xml:space="preserve"> * A categorização da "Adequação quantitativa de pré-natal" mostrada na variável "Adeq quant pré-natal" considera o início do</t>
  </si>
  <si>
    <t xml:space="preserve"> pré-natal no primeiro trimestre e um mínimo de seis consultas de pré-natal –, sendo gravada em campo chamado Kotelchuck no</t>
  </si>
  <si>
    <t xml:space="preserve"> arquivo disponível para download, calculado a partir dos campos “33 – Número de consultas pré-natal” (Mesprenat) e “34 – Mês de gestação em que iniciou o pré-natal” (Consprenat).</t>
  </si>
  <si>
    <t xml:space="preserve"> Maiores informações no documento "Saúde Brasil 2017: uma análise da situação de saúde e os desafios para o alcance dos Objetivos de Desenvolvi</t>
  </si>
  <si>
    <t>RMM por 100mil nascido vivos</t>
  </si>
  <si>
    <t>R_Global_res</t>
  </si>
  <si>
    <t>2203 Carnaubais</t>
  </si>
  <si>
    <t>2211 Chapada das Mangabeiras</t>
  </si>
  <si>
    <t>2202 Cocais</t>
  </si>
  <si>
    <t>2204 Entre Rios</t>
  </si>
  <si>
    <t>2201 Planicie Litoranea</t>
  </si>
  <si>
    <t>2208 Serra da Capivara</t>
  </si>
  <si>
    <t>2210 Tabuleiros do Alto Parna</t>
  </si>
  <si>
    <t>2207 Vale do Canind</t>
  </si>
  <si>
    <t>2206 Vale do Rio Guaribas</t>
  </si>
  <si>
    <t>2205 Vale do Sambito</t>
  </si>
  <si>
    <t>2209 Vale dos Rios Piau  e Ita</t>
  </si>
  <si>
    <t>2212 Chapada vale do Itaim</t>
  </si>
  <si>
    <t>2200 Ignorado - PI</t>
  </si>
  <si>
    <t xml:space="preserve">Estado </t>
  </si>
  <si>
    <t>Cocais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</si>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</sst>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0" fontId="16" fillId="0" borderId="0" xfId="0" applyFont="1" applyFill="1"/>
    <xf numFmtId="0" fontId="16" fillId="0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164" fontId="14" fillId="0" borderId="0" xfId="0" applyNumberFormat="1" applyFont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RMM por 100mil nascido vivos. Residentes Piauí 2019 a 2025*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'nascidso vivos pi'!$L$22</c:f>
              <c:strCache>
                <c:ptCount val="1"/>
                <c:pt idx="0">
                  <c:v>RMM por 100mil nascido vivos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'nascidso vivos pi'!$M$21:$S$21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'nascidso vivos pi'!$M$22:$S$22</c:f>
              <c:numCache>
                <c:formatCode>0.0</c:formatCode>
                <c:ptCount val="7"/>
                <c:pt idx="0">
                  <c:v>85.536060751465584</c:v>
                </c:pt>
                <c:pt idx="1">
                  <c:v>88.438833491786241</c:v>
                </c:pt>
                <c:pt idx="2">
                  <c:v>128.32224107181696</c:v>
                </c:pt>
                <c:pt idx="3">
                  <c:v>87.580183208275145</c:v>
                </c:pt>
                <c:pt idx="4">
                  <c:v>54.57479119210327</c:v>
                </c:pt>
                <c:pt idx="5">
                  <c:v>88.167871627578904</c:v>
                </c:pt>
                <c:pt idx="6" formatCode="General">
                  <c:v>61.5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3-4D15-ACC9-316540E118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6697248"/>
        <c:axId val="383237584"/>
      </c:barChart>
      <c:catAx>
        <c:axId val="41669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237584"/>
        <c:crosses val="autoZero"/>
        <c:auto val="1"/>
        <c:lblAlgn val="ctr"/>
        <c:lblOffset val="100"/>
        <c:noMultiLvlLbl val="0"/>
      </c:catAx>
      <c:valAx>
        <c:axId val="38323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RMM/100mil Nascidos vivos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69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'nascidso vivos pi'!$Z$10</c:f>
              <c:strCache>
                <c:ptCount val="1"/>
                <c:pt idx="0">
                  <c:v>Estado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'nascidso vivos pi'!$AA$9:$AG$9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'nascidso vivos pi'!$AA$10:$AG$10</c:f>
              <c:numCache>
                <c:formatCode>0.0</c:formatCode>
                <c:ptCount val="7"/>
                <c:pt idx="0">
                  <c:v>85.536060751465584</c:v>
                </c:pt>
                <c:pt idx="1">
                  <c:v>88.438833491786241</c:v>
                </c:pt>
                <c:pt idx="2">
                  <c:v>128.32224107181696</c:v>
                </c:pt>
                <c:pt idx="3">
                  <c:v>87.580183208275145</c:v>
                </c:pt>
                <c:pt idx="4">
                  <c:v>54.57479119210327</c:v>
                </c:pt>
                <c:pt idx="5">
                  <c:v>88.167871627578904</c:v>
                </c:pt>
                <c:pt idx="6">
                  <c:v>61.450728805643635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B-4052-8550-FEF980DC9B14}"/>
            </c:ext>
          </c:extLst>
        </c:ser>
        <c:ser>
          <c:idx val="1"/>
          <c:order val="1"/>
          <c:tx>
            <c:strRef>
              <c:f>'nascidso vivos pi'!$Z$11</c:f>
              <c:strCache>
                <c:ptCount val="1"/>
                <c:pt idx="0">
                  <c:v>Cocais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'nascidso vivos pi'!$AA$9:$AG$9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'nascidso vivos pi'!$AA$11:$AG$11</c:f>
              <c:numCache>
                <c:formatCode>0.0</c:formatCode>
                <c:ptCount val="7"/>
                <c:pt idx="0">
                  <c:v>88.936321593738882</c:v>
                </c:pt>
                <c:pt idx="1">
                  <c:v>90.843023255813947</c:v>
                </c:pt>
                <c:pt idx="2">
                  <c:v>124.06947890818859</c:v>
                </c:pt>
                <c:pt idx="3">
                  <c:v>38.669760247486465</c:v>
                </c:pt>
                <c:pt idx="4">
                  <c:v>19.215987701767872</c:v>
                </c:pt>
                <c:pt idx="5">
                  <c:v>59.559261465157839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B-4052-8550-FEF980DC9B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0586784"/>
        <c:axId val="1125795440"/>
      </c:barChart>
      <c:catAx>
        <c:axId val="118058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5795440"/>
        <c:crosses val="autoZero"/>
        <c:auto val="1"/>
        <c:lblAlgn val="ctr"/>
        <c:lblOffset val="100"/>
        <c:noMultiLvlLbl val="0"/>
      </c:catAx>
      <c:valAx>
        <c:axId val="112579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058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6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59EF49-CDDD-4FE4-B1D6-524D09912D00}">
  <sheetPr/>
  <sheetViews>
    <sheetView tabSelected="1" zoomScale="6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8945" cy="601265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86F9D-BECE-498C-B9E0-F399519030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58945" cy="601265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0DE1B3-79BD-468F-A873-E6F29C958B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workbookViewId="0">
      <selection activeCell="A13" sqref="A13"/>
    </sheetView>
  </sheetViews>
  <sheetFormatPr defaultRowHeight="15" x14ac:dyDescent="0.25"/>
  <cols>
    <col min="1" max="1" width="56.85546875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 t="s">
        <v>4</v>
      </c>
    </row>
    <row r="5" spans="1:8" x14ac:dyDescent="0.25">
      <c r="A5" t="s">
        <v>5</v>
      </c>
      <c r="B5">
        <v>1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>
        <v>1</v>
      </c>
    </row>
    <row r="6" spans="1:8" x14ac:dyDescent="0.25">
      <c r="A6" t="s">
        <v>7</v>
      </c>
      <c r="B6" t="s">
        <v>6</v>
      </c>
      <c r="C6" t="s">
        <v>6</v>
      </c>
      <c r="D6">
        <v>4</v>
      </c>
      <c r="E6" t="s">
        <v>6</v>
      </c>
      <c r="F6" t="s">
        <v>6</v>
      </c>
      <c r="G6">
        <v>1</v>
      </c>
      <c r="H6">
        <v>5</v>
      </c>
    </row>
    <row r="7" spans="1:8" x14ac:dyDescent="0.25">
      <c r="A7" t="s">
        <v>8</v>
      </c>
      <c r="B7">
        <v>1</v>
      </c>
      <c r="C7">
        <v>2</v>
      </c>
      <c r="D7" t="s">
        <v>6</v>
      </c>
      <c r="E7">
        <v>1</v>
      </c>
      <c r="F7" t="s">
        <v>6</v>
      </c>
      <c r="G7" t="s">
        <v>6</v>
      </c>
      <c r="H7">
        <v>4</v>
      </c>
    </row>
    <row r="8" spans="1:8" x14ac:dyDescent="0.25">
      <c r="A8" t="s">
        <v>9</v>
      </c>
      <c r="B8">
        <v>1</v>
      </c>
      <c r="C8" t="s">
        <v>6</v>
      </c>
      <c r="D8">
        <v>1</v>
      </c>
      <c r="E8" t="s">
        <v>6</v>
      </c>
      <c r="F8" t="s">
        <v>6</v>
      </c>
      <c r="G8" t="s">
        <v>6</v>
      </c>
      <c r="H8">
        <v>2</v>
      </c>
    </row>
    <row r="9" spans="1:8" x14ac:dyDescent="0.25">
      <c r="A9" t="s">
        <v>10</v>
      </c>
      <c r="B9" t="s">
        <v>6</v>
      </c>
      <c r="C9">
        <v>1</v>
      </c>
      <c r="D9" t="s">
        <v>6</v>
      </c>
      <c r="E9">
        <v>2</v>
      </c>
      <c r="F9" t="s">
        <v>6</v>
      </c>
      <c r="G9">
        <v>2</v>
      </c>
      <c r="H9">
        <v>5</v>
      </c>
    </row>
    <row r="10" spans="1:8" x14ac:dyDescent="0.25">
      <c r="A10" t="s">
        <v>11</v>
      </c>
      <c r="B10">
        <v>6</v>
      </c>
      <c r="C10">
        <v>5</v>
      </c>
      <c r="D10">
        <v>3</v>
      </c>
      <c r="E10">
        <v>4</v>
      </c>
      <c r="F10">
        <v>1</v>
      </c>
      <c r="G10">
        <v>2</v>
      </c>
      <c r="H10">
        <v>21</v>
      </c>
    </row>
    <row r="11" spans="1:8" x14ac:dyDescent="0.25">
      <c r="A11" t="s">
        <v>12</v>
      </c>
      <c r="B11">
        <v>7</v>
      </c>
      <c r="C11">
        <v>6</v>
      </c>
      <c r="D11">
        <v>4</v>
      </c>
      <c r="E11">
        <v>8</v>
      </c>
      <c r="F11">
        <v>4</v>
      </c>
      <c r="G11">
        <v>4</v>
      </c>
      <c r="H11">
        <v>33</v>
      </c>
    </row>
    <row r="12" spans="1:8" x14ac:dyDescent="0.25">
      <c r="A12" t="s">
        <v>13</v>
      </c>
      <c r="B12" t="s">
        <v>6</v>
      </c>
      <c r="C12">
        <v>1</v>
      </c>
      <c r="D12" t="s">
        <v>6</v>
      </c>
      <c r="E12" t="s">
        <v>6</v>
      </c>
      <c r="F12" t="s">
        <v>6</v>
      </c>
      <c r="G12" t="s">
        <v>6</v>
      </c>
      <c r="H12">
        <v>1</v>
      </c>
    </row>
    <row r="13" spans="1:8" x14ac:dyDescent="0.25">
      <c r="A13" t="s">
        <v>14</v>
      </c>
      <c r="B13" t="s">
        <v>6</v>
      </c>
      <c r="C13">
        <v>1</v>
      </c>
      <c r="D13" t="s">
        <v>6</v>
      </c>
      <c r="E13" t="s">
        <v>6</v>
      </c>
      <c r="F13" t="s">
        <v>6</v>
      </c>
      <c r="G13" t="s">
        <v>6</v>
      </c>
      <c r="H13">
        <v>1</v>
      </c>
    </row>
    <row r="14" spans="1:8" x14ac:dyDescent="0.25">
      <c r="A14" t="s">
        <v>15</v>
      </c>
      <c r="B14" t="s">
        <v>6</v>
      </c>
      <c r="C14" t="s">
        <v>6</v>
      </c>
      <c r="D14" t="s">
        <v>6</v>
      </c>
      <c r="E14" t="s">
        <v>6</v>
      </c>
      <c r="F14">
        <v>2</v>
      </c>
      <c r="G14">
        <v>1</v>
      </c>
      <c r="H14">
        <v>3</v>
      </c>
    </row>
    <row r="15" spans="1:8" x14ac:dyDescent="0.25">
      <c r="A15" t="s">
        <v>16</v>
      </c>
      <c r="B15" t="s">
        <v>6</v>
      </c>
      <c r="C15">
        <v>1</v>
      </c>
      <c r="D15">
        <v>2</v>
      </c>
      <c r="E15">
        <v>1</v>
      </c>
      <c r="F15">
        <v>2</v>
      </c>
      <c r="G15">
        <v>1</v>
      </c>
      <c r="H15">
        <v>7</v>
      </c>
    </row>
    <row r="16" spans="1:8" x14ac:dyDescent="0.25">
      <c r="A16" t="s">
        <v>17</v>
      </c>
      <c r="B16" t="s">
        <v>6</v>
      </c>
      <c r="C16" t="s">
        <v>6</v>
      </c>
      <c r="D16">
        <v>1</v>
      </c>
      <c r="E16" t="s">
        <v>6</v>
      </c>
      <c r="F16" t="s">
        <v>6</v>
      </c>
      <c r="G16">
        <v>1</v>
      </c>
      <c r="H16">
        <v>2</v>
      </c>
    </row>
    <row r="17" spans="1:8" x14ac:dyDescent="0.25">
      <c r="A17" t="s">
        <v>18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>
        <v>1</v>
      </c>
      <c r="H17">
        <v>1</v>
      </c>
    </row>
    <row r="18" spans="1:8" x14ac:dyDescent="0.25">
      <c r="A18" t="s">
        <v>19</v>
      </c>
      <c r="B18" t="s">
        <v>6</v>
      </c>
      <c r="C18" t="s">
        <v>6</v>
      </c>
      <c r="D18" t="s">
        <v>6</v>
      </c>
      <c r="E18" t="s">
        <v>6</v>
      </c>
      <c r="F18">
        <v>2</v>
      </c>
      <c r="G18" t="s">
        <v>6</v>
      </c>
      <c r="H18">
        <v>2</v>
      </c>
    </row>
    <row r="19" spans="1:8" x14ac:dyDescent="0.25">
      <c r="A19" t="s">
        <v>20</v>
      </c>
      <c r="B19">
        <v>1</v>
      </c>
      <c r="C19" t="s">
        <v>6</v>
      </c>
      <c r="D19" t="s">
        <v>6</v>
      </c>
      <c r="E19">
        <v>1</v>
      </c>
      <c r="F19" t="s">
        <v>6</v>
      </c>
      <c r="G19">
        <v>1</v>
      </c>
      <c r="H19">
        <v>3</v>
      </c>
    </row>
    <row r="20" spans="1:8" x14ac:dyDescent="0.25">
      <c r="A20" t="s">
        <v>21</v>
      </c>
      <c r="B20">
        <v>1</v>
      </c>
      <c r="C20">
        <v>2</v>
      </c>
      <c r="D20">
        <v>1</v>
      </c>
      <c r="E20" t="s">
        <v>6</v>
      </c>
      <c r="F20" t="s">
        <v>6</v>
      </c>
      <c r="G20">
        <v>1</v>
      </c>
      <c r="H20">
        <v>5</v>
      </c>
    </row>
    <row r="21" spans="1:8" x14ac:dyDescent="0.25">
      <c r="A21" t="s">
        <v>22</v>
      </c>
      <c r="B21" t="s">
        <v>6</v>
      </c>
      <c r="C21">
        <v>1</v>
      </c>
      <c r="D21" t="s">
        <v>6</v>
      </c>
      <c r="E21" t="s">
        <v>6</v>
      </c>
      <c r="F21" t="s">
        <v>6</v>
      </c>
      <c r="G21" t="s">
        <v>6</v>
      </c>
      <c r="H21">
        <v>1</v>
      </c>
    </row>
    <row r="22" spans="1:8" x14ac:dyDescent="0.25">
      <c r="A22" t="s">
        <v>23</v>
      </c>
      <c r="B22">
        <v>2</v>
      </c>
      <c r="C22" t="s">
        <v>6</v>
      </c>
      <c r="D22" t="s">
        <v>6</v>
      </c>
      <c r="E22">
        <v>1</v>
      </c>
      <c r="F22">
        <v>1</v>
      </c>
      <c r="G22">
        <v>5</v>
      </c>
      <c r="H22">
        <v>9</v>
      </c>
    </row>
    <row r="23" spans="1:8" x14ac:dyDescent="0.25">
      <c r="A23" t="s">
        <v>24</v>
      </c>
      <c r="B23" t="s">
        <v>6</v>
      </c>
      <c r="C23" t="s">
        <v>6</v>
      </c>
      <c r="D23" t="s">
        <v>6</v>
      </c>
      <c r="E23">
        <v>1</v>
      </c>
      <c r="F23" t="s">
        <v>6</v>
      </c>
      <c r="G23" t="s">
        <v>6</v>
      </c>
      <c r="H23">
        <v>1</v>
      </c>
    </row>
    <row r="24" spans="1:8" x14ac:dyDescent="0.25">
      <c r="A24" t="s">
        <v>25</v>
      </c>
      <c r="B24" t="s">
        <v>6</v>
      </c>
      <c r="C24">
        <v>1</v>
      </c>
      <c r="D24" t="s">
        <v>6</v>
      </c>
      <c r="E24">
        <v>1</v>
      </c>
      <c r="F24" t="s">
        <v>6</v>
      </c>
      <c r="G24" t="s">
        <v>6</v>
      </c>
      <c r="H24">
        <v>2</v>
      </c>
    </row>
    <row r="25" spans="1:8" x14ac:dyDescent="0.25">
      <c r="A25" t="s">
        <v>26</v>
      </c>
      <c r="B25">
        <v>1</v>
      </c>
      <c r="C25" t="s">
        <v>6</v>
      </c>
      <c r="D25">
        <v>1</v>
      </c>
      <c r="E25" t="s">
        <v>6</v>
      </c>
      <c r="F25">
        <v>1</v>
      </c>
      <c r="G25" t="s">
        <v>6</v>
      </c>
      <c r="H25">
        <v>3</v>
      </c>
    </row>
    <row r="26" spans="1:8" x14ac:dyDescent="0.25">
      <c r="A26" t="s">
        <v>27</v>
      </c>
      <c r="B26">
        <v>1</v>
      </c>
      <c r="C26">
        <v>2</v>
      </c>
      <c r="D26">
        <v>1</v>
      </c>
      <c r="E26">
        <v>3</v>
      </c>
      <c r="F26" t="s">
        <v>6</v>
      </c>
      <c r="G26">
        <v>1</v>
      </c>
      <c r="H26">
        <v>8</v>
      </c>
    </row>
    <row r="27" spans="1:8" x14ac:dyDescent="0.25">
      <c r="A27" t="s">
        <v>28</v>
      </c>
      <c r="B27" t="s">
        <v>6</v>
      </c>
      <c r="C27">
        <v>1</v>
      </c>
      <c r="D27" t="s">
        <v>6</v>
      </c>
      <c r="E27" t="s">
        <v>6</v>
      </c>
      <c r="F27" t="s">
        <v>6</v>
      </c>
      <c r="G27" t="s">
        <v>6</v>
      </c>
      <c r="H27">
        <v>1</v>
      </c>
    </row>
    <row r="28" spans="1:8" x14ac:dyDescent="0.25">
      <c r="A28" t="s">
        <v>29</v>
      </c>
      <c r="B28">
        <v>5</v>
      </c>
      <c r="C28" t="s">
        <v>6</v>
      </c>
      <c r="D28">
        <v>1</v>
      </c>
      <c r="E28">
        <v>2</v>
      </c>
      <c r="F28" t="s">
        <v>6</v>
      </c>
      <c r="G28" t="s">
        <v>6</v>
      </c>
      <c r="H28">
        <v>8</v>
      </c>
    </row>
    <row r="29" spans="1:8" x14ac:dyDescent="0.25">
      <c r="A29" t="s">
        <v>30</v>
      </c>
      <c r="B29">
        <v>6</v>
      </c>
      <c r="C29">
        <v>2</v>
      </c>
      <c r="D29">
        <v>4</v>
      </c>
      <c r="E29">
        <v>1</v>
      </c>
      <c r="F29" t="s">
        <v>6</v>
      </c>
      <c r="G29">
        <v>1</v>
      </c>
      <c r="H29">
        <v>14</v>
      </c>
    </row>
    <row r="30" spans="1:8" x14ac:dyDescent="0.25">
      <c r="A30" t="s">
        <v>31</v>
      </c>
      <c r="B30" t="s">
        <v>6</v>
      </c>
      <c r="C30" t="s">
        <v>6</v>
      </c>
      <c r="D30">
        <v>2</v>
      </c>
      <c r="E30" t="s">
        <v>6</v>
      </c>
      <c r="F30" t="s">
        <v>6</v>
      </c>
      <c r="G30" t="s">
        <v>6</v>
      </c>
      <c r="H30">
        <v>2</v>
      </c>
    </row>
    <row r="31" spans="1:8" x14ac:dyDescent="0.25">
      <c r="A31" t="s">
        <v>32</v>
      </c>
      <c r="B31">
        <v>1</v>
      </c>
      <c r="C31" t="s">
        <v>6</v>
      </c>
      <c r="D31" t="s">
        <v>6</v>
      </c>
      <c r="E31" t="s">
        <v>6</v>
      </c>
      <c r="F31">
        <v>2</v>
      </c>
      <c r="G31">
        <v>2</v>
      </c>
      <c r="H31">
        <v>5</v>
      </c>
    </row>
    <row r="32" spans="1:8" x14ac:dyDescent="0.25">
      <c r="A32" t="s">
        <v>33</v>
      </c>
      <c r="B32">
        <v>1</v>
      </c>
      <c r="C32">
        <v>2</v>
      </c>
      <c r="D32">
        <v>2</v>
      </c>
      <c r="E32">
        <v>1</v>
      </c>
      <c r="F32">
        <v>1</v>
      </c>
      <c r="G32">
        <v>2</v>
      </c>
      <c r="H32">
        <v>9</v>
      </c>
    </row>
    <row r="33" spans="1:8" x14ac:dyDescent="0.25">
      <c r="A33" t="s">
        <v>34</v>
      </c>
      <c r="B33">
        <v>1</v>
      </c>
      <c r="C33" t="s">
        <v>6</v>
      </c>
      <c r="D33">
        <v>2</v>
      </c>
      <c r="E33" t="s">
        <v>6</v>
      </c>
      <c r="F33">
        <v>2</v>
      </c>
      <c r="G33" t="s">
        <v>6</v>
      </c>
      <c r="H33">
        <v>5</v>
      </c>
    </row>
    <row r="34" spans="1:8" x14ac:dyDescent="0.25">
      <c r="A34" t="s">
        <v>35</v>
      </c>
      <c r="B34" t="s">
        <v>6</v>
      </c>
      <c r="C34">
        <v>1</v>
      </c>
      <c r="D34">
        <v>2</v>
      </c>
      <c r="E34">
        <v>1</v>
      </c>
      <c r="F34" t="s">
        <v>6</v>
      </c>
      <c r="G34">
        <v>1</v>
      </c>
      <c r="H34">
        <v>5</v>
      </c>
    </row>
    <row r="35" spans="1:8" x14ac:dyDescent="0.25">
      <c r="A35" t="s">
        <v>36</v>
      </c>
      <c r="B35" t="s">
        <v>6</v>
      </c>
      <c r="C35">
        <v>7</v>
      </c>
      <c r="D35">
        <v>20</v>
      </c>
      <c r="E35">
        <v>1</v>
      </c>
      <c r="F35" t="s">
        <v>6</v>
      </c>
      <c r="G35">
        <v>1</v>
      </c>
      <c r="H35">
        <v>29</v>
      </c>
    </row>
    <row r="36" spans="1:8" x14ac:dyDescent="0.25">
      <c r="A36" t="s">
        <v>37</v>
      </c>
      <c r="B36">
        <v>5</v>
      </c>
      <c r="C36">
        <v>4</v>
      </c>
      <c r="D36">
        <v>8</v>
      </c>
      <c r="E36">
        <v>8</v>
      </c>
      <c r="F36">
        <v>5</v>
      </c>
      <c r="G36">
        <v>7</v>
      </c>
      <c r="H36">
        <v>37</v>
      </c>
    </row>
    <row r="37" spans="1:8" x14ac:dyDescent="0.25">
      <c r="A37" t="s">
        <v>4</v>
      </c>
      <c r="B37">
        <v>41</v>
      </c>
      <c r="C37">
        <v>40</v>
      </c>
      <c r="D37">
        <v>59</v>
      </c>
      <c r="E37">
        <v>37</v>
      </c>
      <c r="F37">
        <v>23</v>
      </c>
      <c r="G37">
        <v>35</v>
      </c>
      <c r="H37">
        <v>235</v>
      </c>
    </row>
    <row r="38" spans="1:8" x14ac:dyDescent="0.25">
      <c r="A38" t="s">
        <v>38</v>
      </c>
    </row>
    <row r="39" spans="1:8" x14ac:dyDescent="0.25">
      <c r="A39" t="s">
        <v>39</v>
      </c>
    </row>
    <row r="40" spans="1:8" x14ac:dyDescent="0.25">
      <c r="A40" t="s">
        <v>40</v>
      </c>
    </row>
    <row r="41" spans="1:8" x14ac:dyDescent="0.25">
      <c r="A41" t="s">
        <v>41</v>
      </c>
    </row>
    <row r="42" spans="1:8" x14ac:dyDescent="0.25">
      <c r="A42" t="s">
        <v>42</v>
      </c>
    </row>
    <row r="43" spans="1:8" x14ac:dyDescent="0.25">
      <c r="A43" t="s">
        <v>43</v>
      </c>
    </row>
    <row r="44" spans="1:8" x14ac:dyDescent="0.25">
      <c r="A44" t="s">
        <v>44</v>
      </c>
    </row>
    <row r="45" spans="1:8" x14ac:dyDescent="0.25">
      <c r="A45" t="s">
        <v>45</v>
      </c>
    </row>
    <row r="46" spans="1:8" x14ac:dyDescent="0.25">
      <c r="A46" t="s">
        <v>46</v>
      </c>
    </row>
    <row r="47" spans="1:8" x14ac:dyDescent="0.25">
      <c r="A47" t="s">
        <v>47</v>
      </c>
    </row>
    <row r="48" spans="1:8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40</v>
      </c>
    </row>
    <row r="55" spans="1:1" x14ac:dyDescent="0.25">
      <c r="A55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>
      <selection activeCell="A4" sqref="A4"/>
    </sheetView>
  </sheetViews>
  <sheetFormatPr defaultRowHeight="15" x14ac:dyDescent="0.25"/>
  <cols>
    <col min="1" max="1" width="33" customWidth="1"/>
    <col min="2" max="9" width="9.140625" style="3"/>
  </cols>
  <sheetData>
    <row r="1" spans="1:9" x14ac:dyDescent="0.25">
      <c r="A1" t="s">
        <v>0</v>
      </c>
    </row>
    <row r="2" spans="1:9" x14ac:dyDescent="0.25">
      <c r="A2" t="s">
        <v>88</v>
      </c>
    </row>
    <row r="3" spans="1:9" x14ac:dyDescent="0.25">
      <c r="A3" t="s">
        <v>2</v>
      </c>
    </row>
    <row r="4" spans="1:9" x14ac:dyDescent="0.25">
      <c r="A4" t="s">
        <v>89</v>
      </c>
      <c r="B4" s="3">
        <v>2019</v>
      </c>
      <c r="C4" s="3">
        <v>2020</v>
      </c>
      <c r="D4" s="3">
        <v>2021</v>
      </c>
      <c r="E4" s="3">
        <v>2022</v>
      </c>
      <c r="F4" s="3">
        <v>2023</v>
      </c>
      <c r="G4" s="3">
        <v>2024</v>
      </c>
      <c r="H4" s="3" t="s">
        <v>4</v>
      </c>
      <c r="I4" s="3" t="s">
        <v>56</v>
      </c>
    </row>
    <row r="5" spans="1:9" x14ac:dyDescent="0.25">
      <c r="A5" t="s">
        <v>90</v>
      </c>
      <c r="B5" s="3">
        <v>1</v>
      </c>
      <c r="C5" s="3">
        <v>4</v>
      </c>
      <c r="D5" s="3" t="s">
        <v>6</v>
      </c>
      <c r="E5" s="3">
        <v>2</v>
      </c>
      <c r="F5" s="3">
        <v>2</v>
      </c>
      <c r="G5" s="3">
        <v>2</v>
      </c>
      <c r="H5" s="3">
        <v>11</v>
      </c>
      <c r="I5" s="4">
        <f>H5/$H$17*100</f>
        <v>4.6808510638297873</v>
      </c>
    </row>
    <row r="6" spans="1:9" x14ac:dyDescent="0.25">
      <c r="A6" t="s">
        <v>97</v>
      </c>
      <c r="B6" s="3">
        <v>3</v>
      </c>
      <c r="C6" s="3">
        <v>3</v>
      </c>
      <c r="D6" s="3">
        <v>3</v>
      </c>
      <c r="E6" s="3">
        <v>5</v>
      </c>
      <c r="F6" s="3">
        <v>1</v>
      </c>
      <c r="G6" s="3">
        <v>6</v>
      </c>
      <c r="H6" s="3">
        <v>21</v>
      </c>
      <c r="I6" s="4">
        <f t="shared" ref="I6:I17" si="0">H6/$H$17*100</f>
        <v>8.9361702127659584</v>
      </c>
    </row>
    <row r="7" spans="1:9" x14ac:dyDescent="0.25">
      <c r="A7" s="12" t="s">
        <v>111</v>
      </c>
      <c r="B7" s="13">
        <v>5</v>
      </c>
      <c r="C7" s="13">
        <v>5</v>
      </c>
      <c r="D7" s="13">
        <v>7</v>
      </c>
      <c r="E7" s="13">
        <v>2</v>
      </c>
      <c r="F7" s="13">
        <v>1</v>
      </c>
      <c r="G7" s="13">
        <v>3</v>
      </c>
      <c r="H7" s="13">
        <v>23</v>
      </c>
      <c r="I7" s="4">
        <f>H7/$H$17*100</f>
        <v>9.787234042553191</v>
      </c>
    </row>
    <row r="8" spans="1:9" x14ac:dyDescent="0.25">
      <c r="A8" t="s">
        <v>125</v>
      </c>
      <c r="B8" s="3">
        <v>15</v>
      </c>
      <c r="C8" s="3">
        <v>11</v>
      </c>
      <c r="D8" s="3">
        <v>23</v>
      </c>
      <c r="E8" s="3">
        <v>9</v>
      </c>
      <c r="F8" s="3">
        <v>9</v>
      </c>
      <c r="G8" s="3">
        <v>7</v>
      </c>
      <c r="H8" s="3">
        <v>74</v>
      </c>
      <c r="I8" s="4">
        <f>H8/$H$17*100</f>
        <v>31.48936170212766</v>
      </c>
    </row>
    <row r="9" spans="1:9" x14ac:dyDescent="0.25">
      <c r="A9" t="s">
        <v>140</v>
      </c>
      <c r="B9" s="3">
        <v>3</v>
      </c>
      <c r="C9" s="3">
        <v>2</v>
      </c>
      <c r="D9" s="3">
        <v>5</v>
      </c>
      <c r="E9" s="3">
        <v>2</v>
      </c>
      <c r="F9" s="3">
        <v>6</v>
      </c>
      <c r="G9" s="3">
        <v>6</v>
      </c>
      <c r="H9" s="3">
        <v>24</v>
      </c>
      <c r="I9" s="4">
        <f t="shared" si="0"/>
        <v>10.212765957446807</v>
      </c>
    </row>
    <row r="10" spans="1:9" x14ac:dyDescent="0.25">
      <c r="A10" t="s">
        <v>146</v>
      </c>
      <c r="B10" s="3">
        <v>3</v>
      </c>
      <c r="C10" s="3">
        <v>5</v>
      </c>
      <c r="D10" s="3">
        <v>3</v>
      </c>
      <c r="E10" s="3">
        <v>3</v>
      </c>
      <c r="F10" s="3" t="s">
        <v>6</v>
      </c>
      <c r="G10" s="3" t="s">
        <v>6</v>
      </c>
      <c r="H10" s="3">
        <v>14</v>
      </c>
      <c r="I10" s="4">
        <f t="shared" si="0"/>
        <v>5.9574468085106389</v>
      </c>
    </row>
    <row r="11" spans="1:9" x14ac:dyDescent="0.25">
      <c r="A11" t="s">
        <v>152</v>
      </c>
      <c r="B11" s="3">
        <v>1</v>
      </c>
      <c r="C11" s="3">
        <v>1</v>
      </c>
      <c r="D11" s="3">
        <v>3</v>
      </c>
      <c r="E11" s="3" t="s">
        <v>6</v>
      </c>
      <c r="F11" s="3" t="s">
        <v>6</v>
      </c>
      <c r="G11" s="3">
        <v>2</v>
      </c>
      <c r="H11" s="3">
        <v>7</v>
      </c>
      <c r="I11" s="4">
        <f t="shared" si="0"/>
        <v>2.9787234042553195</v>
      </c>
    </row>
    <row r="12" spans="1:9" x14ac:dyDescent="0.25">
      <c r="A12" t="s">
        <v>156</v>
      </c>
      <c r="B12" s="3">
        <v>3</v>
      </c>
      <c r="C12" s="3">
        <v>1</v>
      </c>
      <c r="D12" s="3">
        <v>5</v>
      </c>
      <c r="E12" s="3">
        <v>1</v>
      </c>
      <c r="F12" s="3">
        <v>2</v>
      </c>
      <c r="G12" s="3">
        <v>4</v>
      </c>
      <c r="H12" s="3">
        <v>16</v>
      </c>
      <c r="I12" s="4">
        <f t="shared" si="0"/>
        <v>6.8085106382978724</v>
      </c>
    </row>
    <row r="13" spans="1:9" x14ac:dyDescent="0.25">
      <c r="A13" t="s">
        <v>166</v>
      </c>
      <c r="B13" s="3">
        <v>1</v>
      </c>
      <c r="C13" s="3">
        <v>5</v>
      </c>
      <c r="D13" s="3" t="s">
        <v>6</v>
      </c>
      <c r="E13" s="3">
        <v>3</v>
      </c>
      <c r="F13" s="3">
        <v>1</v>
      </c>
      <c r="G13" s="3">
        <v>2</v>
      </c>
      <c r="H13" s="3">
        <v>12</v>
      </c>
      <c r="I13" s="4">
        <f t="shared" si="0"/>
        <v>5.1063829787234036</v>
      </c>
    </row>
    <row r="14" spans="1:9" x14ac:dyDescent="0.25">
      <c r="A14" t="s">
        <v>175</v>
      </c>
      <c r="B14" s="3">
        <v>4</v>
      </c>
      <c r="C14" s="3" t="s">
        <v>6</v>
      </c>
      <c r="D14" s="3">
        <v>1</v>
      </c>
      <c r="E14" s="3">
        <v>1</v>
      </c>
      <c r="F14" s="3" t="s">
        <v>6</v>
      </c>
      <c r="G14" s="3" t="s">
        <v>6</v>
      </c>
      <c r="H14" s="3">
        <v>6</v>
      </c>
      <c r="I14" s="4">
        <f t="shared" si="0"/>
        <v>2.5531914893617018</v>
      </c>
    </row>
    <row r="15" spans="1:9" x14ac:dyDescent="0.25">
      <c r="A15" t="s">
        <v>181</v>
      </c>
      <c r="B15" s="3">
        <v>2</v>
      </c>
      <c r="C15" s="3">
        <v>2</v>
      </c>
      <c r="D15" s="3">
        <v>5</v>
      </c>
      <c r="E15" s="3">
        <v>6</v>
      </c>
      <c r="F15" s="3">
        <v>1</v>
      </c>
      <c r="G15" s="3">
        <v>2</v>
      </c>
      <c r="H15" s="3">
        <v>18</v>
      </c>
      <c r="I15" s="4">
        <f t="shared" si="0"/>
        <v>7.6595744680851059</v>
      </c>
    </row>
    <row r="16" spans="1:9" x14ac:dyDescent="0.25">
      <c r="A16" t="s">
        <v>193</v>
      </c>
      <c r="B16" s="3" t="s">
        <v>6</v>
      </c>
      <c r="C16" s="3">
        <v>1</v>
      </c>
      <c r="D16" s="3">
        <v>4</v>
      </c>
      <c r="E16" s="3">
        <v>3</v>
      </c>
      <c r="F16" s="3" t="s">
        <v>6</v>
      </c>
      <c r="G16" s="3">
        <v>1</v>
      </c>
      <c r="H16" s="3">
        <v>9</v>
      </c>
      <c r="I16" s="4">
        <f t="shared" si="0"/>
        <v>3.8297872340425529</v>
      </c>
    </row>
    <row r="17" spans="1:9" x14ac:dyDescent="0.25">
      <c r="A17" t="s">
        <v>4</v>
      </c>
      <c r="B17" s="3">
        <v>41</v>
      </c>
      <c r="C17" s="3">
        <v>40</v>
      </c>
      <c r="D17" s="3">
        <v>59</v>
      </c>
      <c r="E17" s="3">
        <v>37</v>
      </c>
      <c r="F17" s="3">
        <v>23</v>
      </c>
      <c r="G17" s="3">
        <v>35</v>
      </c>
      <c r="H17" s="3">
        <v>235</v>
      </c>
      <c r="I17" s="4">
        <f t="shared" si="0"/>
        <v>100</v>
      </c>
    </row>
    <row r="18" spans="1:9" x14ac:dyDescent="0.25">
      <c r="I18" s="4"/>
    </row>
    <row r="19" spans="1:9" x14ac:dyDescent="0.25">
      <c r="I19" s="4"/>
    </row>
    <row r="20" spans="1:9" x14ac:dyDescent="0.25">
      <c r="I20" s="4"/>
    </row>
    <row r="21" spans="1:9" x14ac:dyDescent="0.25">
      <c r="A21" t="s">
        <v>38</v>
      </c>
    </row>
    <row r="22" spans="1:9" x14ac:dyDescent="0.25">
      <c r="A22" t="s">
        <v>39</v>
      </c>
    </row>
    <row r="23" spans="1:9" x14ac:dyDescent="0.25">
      <c r="A23" t="s">
        <v>40</v>
      </c>
    </row>
    <row r="24" spans="1:9" x14ac:dyDescent="0.25">
      <c r="A24" t="s">
        <v>41</v>
      </c>
    </row>
    <row r="25" spans="1:9" x14ac:dyDescent="0.25">
      <c r="A25" t="s">
        <v>42</v>
      </c>
    </row>
    <row r="26" spans="1:9" x14ac:dyDescent="0.25">
      <c r="A26" t="s">
        <v>43</v>
      </c>
    </row>
    <row r="27" spans="1:9" x14ac:dyDescent="0.25">
      <c r="A27" t="s">
        <v>44</v>
      </c>
    </row>
    <row r="28" spans="1:9" x14ac:dyDescent="0.25">
      <c r="A28" t="s">
        <v>45</v>
      </c>
    </row>
    <row r="29" spans="1:9" x14ac:dyDescent="0.25">
      <c r="A29" t="s">
        <v>46</v>
      </c>
    </row>
    <row r="30" spans="1:9" x14ac:dyDescent="0.25">
      <c r="A30" t="s">
        <v>47</v>
      </c>
    </row>
    <row r="31" spans="1:9" x14ac:dyDescent="0.25">
      <c r="A31" t="s">
        <v>48</v>
      </c>
    </row>
    <row r="32" spans="1:9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40</v>
      </c>
    </row>
    <row r="38" spans="1:1" x14ac:dyDescent="0.25">
      <c r="A38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topLeftCell="A22" workbookViewId="0">
      <selection activeCell="A37" sqref="A37"/>
    </sheetView>
  </sheetViews>
  <sheetFormatPr defaultRowHeight="15" x14ac:dyDescent="0.25"/>
  <cols>
    <col min="1" max="1" width="56.85546875" customWidth="1"/>
    <col min="2" max="9" width="9.140625" style="3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  <c r="B4" s="3">
        <v>2019</v>
      </c>
      <c r="C4" s="3">
        <v>2020</v>
      </c>
      <c r="D4" s="3">
        <v>2021</v>
      </c>
      <c r="E4" s="3">
        <v>2022</v>
      </c>
      <c r="F4" s="3">
        <v>2023</v>
      </c>
      <c r="G4" s="3">
        <v>2024</v>
      </c>
      <c r="H4" s="3" t="s">
        <v>4</v>
      </c>
    </row>
    <row r="5" spans="1:9" x14ac:dyDescent="0.25">
      <c r="A5" t="s">
        <v>5</v>
      </c>
      <c r="B5" s="3">
        <v>1</v>
      </c>
      <c r="C5" s="3" t="s">
        <v>6</v>
      </c>
      <c r="D5" s="3" t="s">
        <v>6</v>
      </c>
      <c r="E5" s="3" t="s">
        <v>6</v>
      </c>
      <c r="F5" s="3" t="s">
        <v>6</v>
      </c>
      <c r="G5" s="3" t="s">
        <v>6</v>
      </c>
      <c r="H5" s="3">
        <v>1</v>
      </c>
      <c r="I5" s="4">
        <f>H5/$H$37*100</f>
        <v>0.42553191489361702</v>
      </c>
    </row>
    <row r="6" spans="1:9" x14ac:dyDescent="0.25">
      <c r="A6" t="s">
        <v>7</v>
      </c>
      <c r="B6" s="3" t="s">
        <v>6</v>
      </c>
      <c r="C6" s="3" t="s">
        <v>6</v>
      </c>
      <c r="D6" s="3">
        <v>4</v>
      </c>
      <c r="E6" s="3" t="s">
        <v>6</v>
      </c>
      <c r="F6" s="3" t="s">
        <v>6</v>
      </c>
      <c r="G6" s="3">
        <v>1</v>
      </c>
      <c r="H6" s="3">
        <v>5</v>
      </c>
      <c r="I6" s="4">
        <f t="shared" ref="I6:I56" si="0">H6/$H$37*100</f>
        <v>2.1276595744680851</v>
      </c>
    </row>
    <row r="7" spans="1:9" x14ac:dyDescent="0.25">
      <c r="A7" t="s">
        <v>8</v>
      </c>
      <c r="B7" s="3">
        <v>1</v>
      </c>
      <c r="C7" s="3">
        <v>2</v>
      </c>
      <c r="D7" s="3" t="s">
        <v>6</v>
      </c>
      <c r="E7" s="3">
        <v>1</v>
      </c>
      <c r="F7" s="3" t="s">
        <v>6</v>
      </c>
      <c r="G7" s="3" t="s">
        <v>6</v>
      </c>
      <c r="H7" s="3">
        <v>4</v>
      </c>
      <c r="I7" s="4">
        <f t="shared" si="0"/>
        <v>1.7021276595744681</v>
      </c>
    </row>
    <row r="8" spans="1:9" x14ac:dyDescent="0.25">
      <c r="A8" t="s">
        <v>9</v>
      </c>
      <c r="B8" s="3">
        <v>1</v>
      </c>
      <c r="C8" s="3" t="s">
        <v>6</v>
      </c>
      <c r="D8" s="3">
        <v>1</v>
      </c>
      <c r="E8" s="3" t="s">
        <v>6</v>
      </c>
      <c r="F8" s="3" t="s">
        <v>6</v>
      </c>
      <c r="G8" s="3" t="s">
        <v>6</v>
      </c>
      <c r="H8" s="3">
        <v>2</v>
      </c>
      <c r="I8" s="4">
        <f t="shared" si="0"/>
        <v>0.85106382978723405</v>
      </c>
    </row>
    <row r="9" spans="1:9" x14ac:dyDescent="0.25">
      <c r="A9" t="s">
        <v>10</v>
      </c>
      <c r="B9" s="3" t="s">
        <v>6</v>
      </c>
      <c r="C9" s="3">
        <v>1</v>
      </c>
      <c r="D9" s="3" t="s">
        <v>6</v>
      </c>
      <c r="E9" s="3">
        <v>2</v>
      </c>
      <c r="F9" s="3" t="s">
        <v>6</v>
      </c>
      <c r="G9" s="3">
        <v>2</v>
      </c>
      <c r="H9" s="3">
        <v>5</v>
      </c>
      <c r="I9" s="4">
        <f t="shared" si="0"/>
        <v>2.1276595744680851</v>
      </c>
    </row>
    <row r="10" spans="1:9" x14ac:dyDescent="0.25">
      <c r="A10" t="s">
        <v>11</v>
      </c>
      <c r="B10" s="3">
        <v>6</v>
      </c>
      <c r="C10" s="3">
        <v>5</v>
      </c>
      <c r="D10" s="3">
        <v>3</v>
      </c>
      <c r="E10" s="3">
        <v>4</v>
      </c>
      <c r="F10" s="3">
        <v>1</v>
      </c>
      <c r="G10" s="3">
        <v>2</v>
      </c>
      <c r="H10" s="3">
        <v>21</v>
      </c>
      <c r="I10" s="4">
        <f t="shared" si="0"/>
        <v>8.9361702127659584</v>
      </c>
    </row>
    <row r="11" spans="1:9" x14ac:dyDescent="0.25">
      <c r="A11" s="2" t="s">
        <v>12</v>
      </c>
      <c r="B11" s="5">
        <v>7</v>
      </c>
      <c r="C11" s="5">
        <v>6</v>
      </c>
      <c r="D11" s="5">
        <v>4</v>
      </c>
      <c r="E11" s="5">
        <v>8</v>
      </c>
      <c r="F11" s="5">
        <v>4</v>
      </c>
      <c r="G11" s="5">
        <v>4</v>
      </c>
      <c r="H11" s="5">
        <v>33</v>
      </c>
      <c r="I11" s="6">
        <f t="shared" si="0"/>
        <v>14.042553191489363</v>
      </c>
    </row>
    <row r="12" spans="1:9" x14ac:dyDescent="0.25">
      <c r="A12" t="s">
        <v>13</v>
      </c>
      <c r="B12" s="3" t="s">
        <v>6</v>
      </c>
      <c r="C12" s="3">
        <v>1</v>
      </c>
      <c r="D12" s="3" t="s">
        <v>6</v>
      </c>
      <c r="E12" s="3" t="s">
        <v>6</v>
      </c>
      <c r="F12" s="3" t="s">
        <v>6</v>
      </c>
      <c r="G12" s="3" t="s">
        <v>6</v>
      </c>
      <c r="H12" s="3">
        <v>1</v>
      </c>
      <c r="I12" s="4">
        <f t="shared" si="0"/>
        <v>0.42553191489361702</v>
      </c>
    </row>
    <row r="13" spans="1:9" x14ac:dyDescent="0.25">
      <c r="A13" t="s">
        <v>14</v>
      </c>
      <c r="B13" s="3" t="s">
        <v>6</v>
      </c>
      <c r="C13" s="3">
        <v>1</v>
      </c>
      <c r="D13" s="3" t="s">
        <v>6</v>
      </c>
      <c r="E13" s="3" t="s">
        <v>6</v>
      </c>
      <c r="F13" s="3" t="s">
        <v>6</v>
      </c>
      <c r="G13" s="3" t="s">
        <v>6</v>
      </c>
      <c r="H13" s="3">
        <v>1</v>
      </c>
      <c r="I13" s="4">
        <f t="shared" si="0"/>
        <v>0.42553191489361702</v>
      </c>
    </row>
    <row r="14" spans="1:9" x14ac:dyDescent="0.25">
      <c r="A14" t="s">
        <v>15</v>
      </c>
      <c r="B14" s="3" t="s">
        <v>6</v>
      </c>
      <c r="C14" s="3" t="s">
        <v>6</v>
      </c>
      <c r="D14" s="3" t="s">
        <v>6</v>
      </c>
      <c r="E14" s="3" t="s">
        <v>6</v>
      </c>
      <c r="F14" s="3">
        <v>2</v>
      </c>
      <c r="G14" s="3">
        <v>1</v>
      </c>
      <c r="H14" s="3">
        <v>3</v>
      </c>
      <c r="I14" s="4">
        <f t="shared" si="0"/>
        <v>1.2765957446808509</v>
      </c>
    </row>
    <row r="15" spans="1:9" x14ac:dyDescent="0.25">
      <c r="A15" t="s">
        <v>16</v>
      </c>
      <c r="B15" s="3" t="s">
        <v>6</v>
      </c>
      <c r="C15" s="3">
        <v>1</v>
      </c>
      <c r="D15" s="3">
        <v>2</v>
      </c>
      <c r="E15" s="3">
        <v>1</v>
      </c>
      <c r="F15" s="3">
        <v>2</v>
      </c>
      <c r="G15" s="3">
        <v>1</v>
      </c>
      <c r="H15" s="3">
        <v>7</v>
      </c>
      <c r="I15" s="4">
        <f t="shared" si="0"/>
        <v>2.9787234042553195</v>
      </c>
    </row>
    <row r="16" spans="1:9" x14ac:dyDescent="0.25">
      <c r="A16" t="s">
        <v>17</v>
      </c>
      <c r="B16" s="3" t="s">
        <v>6</v>
      </c>
      <c r="C16" s="3" t="s">
        <v>6</v>
      </c>
      <c r="D16" s="3">
        <v>1</v>
      </c>
      <c r="E16" s="3" t="s">
        <v>6</v>
      </c>
      <c r="F16" s="3" t="s">
        <v>6</v>
      </c>
      <c r="G16" s="3">
        <v>1</v>
      </c>
      <c r="H16" s="3">
        <v>2</v>
      </c>
      <c r="I16" s="4">
        <f t="shared" si="0"/>
        <v>0.85106382978723405</v>
      </c>
    </row>
    <row r="17" spans="1:9" x14ac:dyDescent="0.25">
      <c r="A17" t="s">
        <v>18</v>
      </c>
      <c r="B17" s="3" t="s">
        <v>6</v>
      </c>
      <c r="C17" s="3" t="s">
        <v>6</v>
      </c>
      <c r="D17" s="3" t="s">
        <v>6</v>
      </c>
      <c r="E17" s="3" t="s">
        <v>6</v>
      </c>
      <c r="F17" s="3" t="s">
        <v>6</v>
      </c>
      <c r="G17" s="3">
        <v>1</v>
      </c>
      <c r="H17" s="3">
        <v>1</v>
      </c>
      <c r="I17" s="4">
        <f t="shared" si="0"/>
        <v>0.42553191489361702</v>
      </c>
    </row>
    <row r="18" spans="1:9" x14ac:dyDescent="0.25">
      <c r="A18" t="s">
        <v>19</v>
      </c>
      <c r="B18" s="3" t="s">
        <v>6</v>
      </c>
      <c r="C18" s="3" t="s">
        <v>6</v>
      </c>
      <c r="D18" s="3" t="s">
        <v>6</v>
      </c>
      <c r="E18" s="3" t="s">
        <v>6</v>
      </c>
      <c r="F18" s="3">
        <v>2</v>
      </c>
      <c r="G18" s="3" t="s">
        <v>6</v>
      </c>
      <c r="H18" s="3">
        <v>2</v>
      </c>
      <c r="I18" s="4">
        <f t="shared" si="0"/>
        <v>0.85106382978723405</v>
      </c>
    </row>
    <row r="19" spans="1:9" x14ac:dyDescent="0.25">
      <c r="A19" t="s">
        <v>20</v>
      </c>
      <c r="B19" s="3">
        <v>1</v>
      </c>
      <c r="C19" s="3" t="s">
        <v>6</v>
      </c>
      <c r="D19" s="3" t="s">
        <v>6</v>
      </c>
      <c r="E19" s="3">
        <v>1</v>
      </c>
      <c r="F19" s="3" t="s">
        <v>6</v>
      </c>
      <c r="G19" s="3">
        <v>1</v>
      </c>
      <c r="H19" s="3">
        <v>3</v>
      </c>
      <c r="I19" s="4">
        <f t="shared" si="0"/>
        <v>1.2765957446808509</v>
      </c>
    </row>
    <row r="20" spans="1:9" x14ac:dyDescent="0.25">
      <c r="A20" t="s">
        <v>21</v>
      </c>
      <c r="B20" s="3">
        <v>1</v>
      </c>
      <c r="C20" s="3">
        <v>2</v>
      </c>
      <c r="D20" s="3">
        <v>1</v>
      </c>
      <c r="E20" s="3" t="s">
        <v>6</v>
      </c>
      <c r="F20" s="3" t="s">
        <v>6</v>
      </c>
      <c r="G20" s="3">
        <v>1</v>
      </c>
      <c r="H20" s="3">
        <v>5</v>
      </c>
      <c r="I20" s="4">
        <f t="shared" si="0"/>
        <v>2.1276595744680851</v>
      </c>
    </row>
    <row r="21" spans="1:9" x14ac:dyDescent="0.25">
      <c r="A21" t="s">
        <v>22</v>
      </c>
      <c r="B21" s="3" t="s">
        <v>6</v>
      </c>
      <c r="C21" s="3">
        <v>1</v>
      </c>
      <c r="D21" s="3" t="s">
        <v>6</v>
      </c>
      <c r="E21" s="3" t="s">
        <v>6</v>
      </c>
      <c r="F21" s="3" t="s">
        <v>6</v>
      </c>
      <c r="G21" s="3" t="s">
        <v>6</v>
      </c>
      <c r="H21" s="3">
        <v>1</v>
      </c>
      <c r="I21" s="4">
        <f t="shared" si="0"/>
        <v>0.42553191489361702</v>
      </c>
    </row>
    <row r="22" spans="1:9" x14ac:dyDescent="0.25">
      <c r="A22" t="s">
        <v>23</v>
      </c>
      <c r="B22" s="3">
        <v>2</v>
      </c>
      <c r="C22" s="3" t="s">
        <v>6</v>
      </c>
      <c r="D22" s="3" t="s">
        <v>6</v>
      </c>
      <c r="E22" s="3">
        <v>1</v>
      </c>
      <c r="F22" s="3">
        <v>1</v>
      </c>
      <c r="G22" s="3">
        <v>5</v>
      </c>
      <c r="H22" s="3">
        <v>9</v>
      </c>
      <c r="I22" s="4">
        <f t="shared" si="0"/>
        <v>3.8297872340425529</v>
      </c>
    </row>
    <row r="23" spans="1:9" x14ac:dyDescent="0.25">
      <c r="A23" t="s">
        <v>24</v>
      </c>
      <c r="B23" s="3" t="s">
        <v>6</v>
      </c>
      <c r="C23" s="3" t="s">
        <v>6</v>
      </c>
      <c r="D23" s="3" t="s">
        <v>6</v>
      </c>
      <c r="E23" s="3">
        <v>1</v>
      </c>
      <c r="F23" s="3" t="s">
        <v>6</v>
      </c>
      <c r="G23" s="3" t="s">
        <v>6</v>
      </c>
      <c r="H23" s="3">
        <v>1</v>
      </c>
      <c r="I23" s="4">
        <f t="shared" si="0"/>
        <v>0.42553191489361702</v>
      </c>
    </row>
    <row r="24" spans="1:9" x14ac:dyDescent="0.25">
      <c r="A24" t="s">
        <v>25</v>
      </c>
      <c r="B24" s="3" t="s">
        <v>6</v>
      </c>
      <c r="C24" s="3">
        <v>1</v>
      </c>
      <c r="D24" s="3" t="s">
        <v>6</v>
      </c>
      <c r="E24" s="3">
        <v>1</v>
      </c>
      <c r="F24" s="3" t="s">
        <v>6</v>
      </c>
      <c r="G24" s="3" t="s">
        <v>6</v>
      </c>
      <c r="H24" s="3">
        <v>2</v>
      </c>
      <c r="I24" s="4">
        <f t="shared" si="0"/>
        <v>0.85106382978723405</v>
      </c>
    </row>
    <row r="25" spans="1:9" x14ac:dyDescent="0.25">
      <c r="A25" t="s">
        <v>26</v>
      </c>
      <c r="B25" s="3">
        <v>1</v>
      </c>
      <c r="C25" s="3" t="s">
        <v>6</v>
      </c>
      <c r="D25" s="3">
        <v>1</v>
      </c>
      <c r="E25" s="3" t="s">
        <v>6</v>
      </c>
      <c r="F25" s="3">
        <v>1</v>
      </c>
      <c r="G25" s="3" t="s">
        <v>6</v>
      </c>
      <c r="H25" s="3">
        <v>3</v>
      </c>
      <c r="I25" s="4">
        <f t="shared" si="0"/>
        <v>1.2765957446808509</v>
      </c>
    </row>
    <row r="26" spans="1:9" x14ac:dyDescent="0.25">
      <c r="A26" t="s">
        <v>27</v>
      </c>
      <c r="B26" s="3">
        <v>1</v>
      </c>
      <c r="C26" s="3">
        <v>2</v>
      </c>
      <c r="D26" s="3">
        <v>1</v>
      </c>
      <c r="E26" s="3">
        <v>3</v>
      </c>
      <c r="F26" s="3" t="s">
        <v>6</v>
      </c>
      <c r="G26" s="3">
        <v>1</v>
      </c>
      <c r="H26" s="3">
        <v>8</v>
      </c>
      <c r="I26" s="4">
        <f t="shared" si="0"/>
        <v>3.4042553191489362</v>
      </c>
    </row>
    <row r="27" spans="1:9" x14ac:dyDescent="0.25">
      <c r="A27" t="s">
        <v>28</v>
      </c>
      <c r="B27" s="3" t="s">
        <v>6</v>
      </c>
      <c r="C27" s="3">
        <v>1</v>
      </c>
      <c r="D27" s="3" t="s">
        <v>6</v>
      </c>
      <c r="E27" s="3" t="s">
        <v>6</v>
      </c>
      <c r="F27" s="3" t="s">
        <v>6</v>
      </c>
      <c r="G27" s="3" t="s">
        <v>6</v>
      </c>
      <c r="H27" s="3">
        <v>1</v>
      </c>
      <c r="I27" s="4">
        <f t="shared" si="0"/>
        <v>0.42553191489361702</v>
      </c>
    </row>
    <row r="28" spans="1:9" x14ac:dyDescent="0.25">
      <c r="A28" t="s">
        <v>29</v>
      </c>
      <c r="B28" s="3">
        <v>5</v>
      </c>
      <c r="C28" s="3" t="s">
        <v>6</v>
      </c>
      <c r="D28" s="3">
        <v>1</v>
      </c>
      <c r="E28" s="3">
        <v>2</v>
      </c>
      <c r="F28" s="3" t="s">
        <v>6</v>
      </c>
      <c r="G28" s="3" t="s">
        <v>6</v>
      </c>
      <c r="H28" s="3">
        <v>8</v>
      </c>
      <c r="I28" s="4">
        <f t="shared" si="0"/>
        <v>3.4042553191489362</v>
      </c>
    </row>
    <row r="29" spans="1:9" x14ac:dyDescent="0.25">
      <c r="A29" s="2" t="s">
        <v>30</v>
      </c>
      <c r="B29" s="5">
        <v>6</v>
      </c>
      <c r="C29" s="5">
        <v>2</v>
      </c>
      <c r="D29" s="5">
        <v>4</v>
      </c>
      <c r="E29" s="5">
        <v>1</v>
      </c>
      <c r="F29" s="5" t="s">
        <v>6</v>
      </c>
      <c r="G29" s="5">
        <v>1</v>
      </c>
      <c r="H29" s="5">
        <v>14</v>
      </c>
      <c r="I29" s="6">
        <f t="shared" si="0"/>
        <v>5.9574468085106389</v>
      </c>
    </row>
    <row r="30" spans="1:9" x14ac:dyDescent="0.25">
      <c r="A30" t="s">
        <v>31</v>
      </c>
      <c r="B30" s="3" t="s">
        <v>6</v>
      </c>
      <c r="C30" s="3" t="s">
        <v>6</v>
      </c>
      <c r="D30" s="3">
        <v>2</v>
      </c>
      <c r="E30" s="3" t="s">
        <v>6</v>
      </c>
      <c r="F30" s="3" t="s">
        <v>6</v>
      </c>
      <c r="G30" s="3" t="s">
        <v>6</v>
      </c>
      <c r="H30" s="3">
        <v>2</v>
      </c>
      <c r="I30" s="4">
        <f t="shared" si="0"/>
        <v>0.85106382978723405</v>
      </c>
    </row>
    <row r="31" spans="1:9" x14ac:dyDescent="0.25">
      <c r="A31" t="s">
        <v>32</v>
      </c>
      <c r="B31" s="3">
        <v>1</v>
      </c>
      <c r="C31" s="3" t="s">
        <v>6</v>
      </c>
      <c r="D31" s="3" t="s">
        <v>6</v>
      </c>
      <c r="E31" s="3" t="s">
        <v>6</v>
      </c>
      <c r="F31" s="3">
        <v>2</v>
      </c>
      <c r="G31" s="3">
        <v>2</v>
      </c>
      <c r="H31" s="3">
        <v>5</v>
      </c>
      <c r="I31" s="4">
        <f t="shared" si="0"/>
        <v>2.1276595744680851</v>
      </c>
    </row>
    <row r="32" spans="1:9" x14ac:dyDescent="0.25">
      <c r="A32" t="s">
        <v>33</v>
      </c>
      <c r="B32" s="3">
        <v>1</v>
      </c>
      <c r="C32" s="3">
        <v>2</v>
      </c>
      <c r="D32" s="3">
        <v>2</v>
      </c>
      <c r="E32" s="3">
        <v>1</v>
      </c>
      <c r="F32" s="3">
        <v>1</v>
      </c>
      <c r="G32" s="3">
        <v>2</v>
      </c>
      <c r="H32" s="3">
        <v>9</v>
      </c>
      <c r="I32" s="4">
        <f t="shared" si="0"/>
        <v>3.8297872340425529</v>
      </c>
    </row>
    <row r="33" spans="1:9" x14ac:dyDescent="0.25">
      <c r="A33" t="s">
        <v>34</v>
      </c>
      <c r="B33" s="3">
        <v>1</v>
      </c>
      <c r="C33" s="3" t="s">
        <v>6</v>
      </c>
      <c r="D33" s="3">
        <v>2</v>
      </c>
      <c r="E33" s="3" t="s">
        <v>6</v>
      </c>
      <c r="F33" s="3">
        <v>2</v>
      </c>
      <c r="G33" s="3" t="s">
        <v>6</v>
      </c>
      <c r="H33" s="3">
        <v>5</v>
      </c>
      <c r="I33" s="4">
        <f t="shared" si="0"/>
        <v>2.1276595744680851</v>
      </c>
    </row>
    <row r="34" spans="1:9" x14ac:dyDescent="0.25">
      <c r="A34" t="s">
        <v>35</v>
      </c>
      <c r="B34" s="3" t="s">
        <v>6</v>
      </c>
      <c r="C34" s="3">
        <v>1</v>
      </c>
      <c r="D34" s="3">
        <v>2</v>
      </c>
      <c r="E34" s="3">
        <v>1</v>
      </c>
      <c r="F34" s="3" t="s">
        <v>6</v>
      </c>
      <c r="G34" s="3">
        <v>1</v>
      </c>
      <c r="H34" s="3">
        <v>5</v>
      </c>
      <c r="I34" s="4">
        <f t="shared" si="0"/>
        <v>2.1276595744680851</v>
      </c>
    </row>
    <row r="35" spans="1:9" x14ac:dyDescent="0.25">
      <c r="A35" s="2" t="s">
        <v>36</v>
      </c>
      <c r="B35" s="5" t="s">
        <v>6</v>
      </c>
      <c r="C35" s="5">
        <v>7</v>
      </c>
      <c r="D35" s="5">
        <v>20</v>
      </c>
      <c r="E35" s="5">
        <v>1</v>
      </c>
      <c r="F35" s="5" t="s">
        <v>6</v>
      </c>
      <c r="G35" s="5">
        <v>1</v>
      </c>
      <c r="H35" s="5">
        <v>29</v>
      </c>
      <c r="I35" s="6">
        <f t="shared" si="0"/>
        <v>12.340425531914894</v>
      </c>
    </row>
    <row r="36" spans="1:9" x14ac:dyDescent="0.25">
      <c r="A36" s="2" t="s">
        <v>37</v>
      </c>
      <c r="B36" s="5">
        <v>5</v>
      </c>
      <c r="C36" s="5">
        <v>4</v>
      </c>
      <c r="D36" s="5">
        <v>8</v>
      </c>
      <c r="E36" s="5">
        <v>8</v>
      </c>
      <c r="F36" s="5">
        <v>5</v>
      </c>
      <c r="G36" s="5">
        <v>7</v>
      </c>
      <c r="H36" s="5">
        <v>37</v>
      </c>
      <c r="I36" s="6">
        <f t="shared" si="0"/>
        <v>15.74468085106383</v>
      </c>
    </row>
    <row r="37" spans="1:9" x14ac:dyDescent="0.25">
      <c r="A37" t="s">
        <v>4</v>
      </c>
      <c r="B37" s="3">
        <v>41</v>
      </c>
      <c r="C37" s="3">
        <v>40</v>
      </c>
      <c r="D37" s="3">
        <v>59</v>
      </c>
      <c r="E37" s="3">
        <v>37</v>
      </c>
      <c r="F37" s="3">
        <v>23</v>
      </c>
      <c r="G37" s="3">
        <v>35</v>
      </c>
      <c r="H37" s="3">
        <v>235</v>
      </c>
      <c r="I37" s="3">
        <f t="shared" si="0"/>
        <v>100</v>
      </c>
    </row>
    <row r="39" spans="1:9" x14ac:dyDescent="0.25">
      <c r="A39" t="s">
        <v>38</v>
      </c>
      <c r="I39" s="3">
        <f t="shared" si="0"/>
        <v>0</v>
      </c>
    </row>
    <row r="40" spans="1:9" x14ac:dyDescent="0.25">
      <c r="A40" t="s">
        <v>39</v>
      </c>
      <c r="I40" s="3">
        <f t="shared" si="0"/>
        <v>0</v>
      </c>
    </row>
    <row r="41" spans="1:9" x14ac:dyDescent="0.25">
      <c r="A41" t="s">
        <v>40</v>
      </c>
      <c r="I41" s="3">
        <f t="shared" si="0"/>
        <v>0</v>
      </c>
    </row>
    <row r="42" spans="1:9" x14ac:dyDescent="0.25">
      <c r="A42" t="s">
        <v>41</v>
      </c>
      <c r="I42" s="3">
        <f t="shared" si="0"/>
        <v>0</v>
      </c>
    </row>
    <row r="43" spans="1:9" x14ac:dyDescent="0.25">
      <c r="A43" t="s">
        <v>42</v>
      </c>
      <c r="I43" s="3">
        <f t="shared" si="0"/>
        <v>0</v>
      </c>
    </row>
    <row r="44" spans="1:9" x14ac:dyDescent="0.25">
      <c r="A44" t="s">
        <v>43</v>
      </c>
      <c r="I44" s="3">
        <f t="shared" si="0"/>
        <v>0</v>
      </c>
    </row>
    <row r="45" spans="1:9" x14ac:dyDescent="0.25">
      <c r="A45" t="s">
        <v>44</v>
      </c>
      <c r="I45" s="3">
        <f t="shared" si="0"/>
        <v>0</v>
      </c>
    </row>
    <row r="46" spans="1:9" x14ac:dyDescent="0.25">
      <c r="A46" t="s">
        <v>45</v>
      </c>
      <c r="I46" s="3">
        <f t="shared" si="0"/>
        <v>0</v>
      </c>
    </row>
    <row r="47" spans="1:9" x14ac:dyDescent="0.25">
      <c r="A47" t="s">
        <v>46</v>
      </c>
      <c r="I47" s="3">
        <f t="shared" si="0"/>
        <v>0</v>
      </c>
    </row>
    <row r="48" spans="1:9" x14ac:dyDescent="0.25">
      <c r="A48" t="s">
        <v>47</v>
      </c>
      <c r="I48" s="3">
        <f t="shared" si="0"/>
        <v>0</v>
      </c>
    </row>
    <row r="49" spans="1:9" x14ac:dyDescent="0.25">
      <c r="A49" t="s">
        <v>48</v>
      </c>
      <c r="I49" s="3">
        <f t="shared" si="0"/>
        <v>0</v>
      </c>
    </row>
    <row r="50" spans="1:9" x14ac:dyDescent="0.25">
      <c r="A50" t="s">
        <v>49</v>
      </c>
      <c r="I50" s="3">
        <f t="shared" si="0"/>
        <v>0</v>
      </c>
    </row>
    <row r="51" spans="1:9" x14ac:dyDescent="0.25">
      <c r="A51" t="s">
        <v>50</v>
      </c>
      <c r="I51" s="3">
        <f t="shared" si="0"/>
        <v>0</v>
      </c>
    </row>
    <row r="52" spans="1:9" x14ac:dyDescent="0.25">
      <c r="A52" t="s">
        <v>51</v>
      </c>
      <c r="I52" s="3">
        <f t="shared" si="0"/>
        <v>0</v>
      </c>
    </row>
    <row r="53" spans="1:9" x14ac:dyDescent="0.25">
      <c r="A53" t="s">
        <v>52</v>
      </c>
      <c r="I53" s="3">
        <f t="shared" si="0"/>
        <v>0</v>
      </c>
    </row>
    <row r="54" spans="1:9" x14ac:dyDescent="0.25">
      <c r="A54" t="s">
        <v>53</v>
      </c>
      <c r="I54" s="3">
        <f t="shared" si="0"/>
        <v>0</v>
      </c>
    </row>
    <row r="55" spans="1:9" x14ac:dyDescent="0.25">
      <c r="A55" t="s">
        <v>40</v>
      </c>
      <c r="I55" s="3">
        <f t="shared" si="0"/>
        <v>0</v>
      </c>
    </row>
    <row r="56" spans="1:9" x14ac:dyDescent="0.25">
      <c r="A56" t="s">
        <v>54</v>
      </c>
      <c r="I56" s="3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9"/>
  <sheetViews>
    <sheetView topLeftCell="A34" workbookViewId="0">
      <selection activeCell="H40" sqref="H40"/>
    </sheetView>
  </sheetViews>
  <sheetFormatPr defaultRowHeight="15" x14ac:dyDescent="0.25"/>
  <cols>
    <col min="1" max="1" width="56.85546875" customWidth="1"/>
    <col min="2" max="9" width="9.140625" style="3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4" spans="1:11" x14ac:dyDescent="0.25">
      <c r="A4" t="s">
        <v>3</v>
      </c>
      <c r="B4" s="3">
        <v>2019</v>
      </c>
      <c r="C4" s="3">
        <v>2020</v>
      </c>
      <c r="D4" s="3">
        <v>2021</v>
      </c>
      <c r="E4" s="3">
        <v>2022</v>
      </c>
      <c r="F4" s="3">
        <v>2023</v>
      </c>
      <c r="G4" s="3">
        <v>2024</v>
      </c>
      <c r="H4" s="3" t="s">
        <v>4</v>
      </c>
    </row>
    <row r="5" spans="1:11" x14ac:dyDescent="0.25">
      <c r="A5" t="s">
        <v>5</v>
      </c>
      <c r="B5" s="3">
        <v>1</v>
      </c>
      <c r="C5" s="3" t="s">
        <v>6</v>
      </c>
      <c r="D5" s="3" t="s">
        <v>6</v>
      </c>
      <c r="E5" s="3" t="s">
        <v>6</v>
      </c>
      <c r="F5" s="3" t="s">
        <v>6</v>
      </c>
      <c r="G5" s="3" t="s">
        <v>6</v>
      </c>
      <c r="H5" s="3">
        <v>1</v>
      </c>
      <c r="I5" s="4"/>
      <c r="K5" s="1">
        <f>H5/$H$40*100</f>
        <v>0.42553191489361702</v>
      </c>
    </row>
    <row r="6" spans="1:11" x14ac:dyDescent="0.25">
      <c r="A6" t="s">
        <v>7</v>
      </c>
      <c r="B6" s="3" t="s">
        <v>6</v>
      </c>
      <c r="C6" s="3" t="s">
        <v>6</v>
      </c>
      <c r="D6" s="3">
        <v>4</v>
      </c>
      <c r="E6" s="3" t="s">
        <v>6</v>
      </c>
      <c r="F6" s="3" t="s">
        <v>6</v>
      </c>
      <c r="G6" s="3">
        <v>1</v>
      </c>
      <c r="H6" s="3">
        <v>5</v>
      </c>
      <c r="I6" s="4"/>
      <c r="K6" s="1">
        <f t="shared" ref="K6:K40" si="0">H6/$H$40*100</f>
        <v>2.1276595744680851</v>
      </c>
    </row>
    <row r="7" spans="1:11" x14ac:dyDescent="0.25">
      <c r="A7" t="s">
        <v>8</v>
      </c>
      <c r="B7" s="3">
        <v>1</v>
      </c>
      <c r="C7" s="3">
        <v>2</v>
      </c>
      <c r="D7" s="3" t="s">
        <v>6</v>
      </c>
      <c r="E7" s="3">
        <v>1</v>
      </c>
      <c r="F7" s="3" t="s">
        <v>6</v>
      </c>
      <c r="G7" s="3" t="s">
        <v>6</v>
      </c>
      <c r="H7" s="3">
        <v>4</v>
      </c>
      <c r="I7" s="4"/>
      <c r="K7" s="1">
        <f t="shared" si="0"/>
        <v>1.7021276595744681</v>
      </c>
    </row>
    <row r="8" spans="1:11" x14ac:dyDescent="0.25">
      <c r="I8" s="4"/>
      <c r="J8" t="s">
        <v>56</v>
      </c>
      <c r="K8" s="1">
        <f t="shared" si="0"/>
        <v>0</v>
      </c>
    </row>
    <row r="9" spans="1:11" x14ac:dyDescent="0.25">
      <c r="A9" t="s">
        <v>9</v>
      </c>
      <c r="B9" s="3">
        <v>1</v>
      </c>
      <c r="C9" s="3" t="s">
        <v>6</v>
      </c>
      <c r="D9" s="3">
        <v>1</v>
      </c>
      <c r="E9" s="3" t="s">
        <v>6</v>
      </c>
      <c r="F9" s="3" t="s">
        <v>6</v>
      </c>
      <c r="G9" s="3" t="s">
        <v>6</v>
      </c>
      <c r="H9" s="3">
        <v>2</v>
      </c>
      <c r="I9" s="4"/>
      <c r="J9" s="1">
        <f>H9/$H$14*100</f>
        <v>3.225806451612903</v>
      </c>
      <c r="K9" s="1">
        <f t="shared" si="0"/>
        <v>0.85106382978723405</v>
      </c>
    </row>
    <row r="10" spans="1:11" x14ac:dyDescent="0.25">
      <c r="A10" t="s">
        <v>10</v>
      </c>
      <c r="B10" s="3" t="s">
        <v>6</v>
      </c>
      <c r="C10" s="3">
        <v>1</v>
      </c>
      <c r="D10" s="3" t="s">
        <v>6</v>
      </c>
      <c r="E10" s="3">
        <v>2</v>
      </c>
      <c r="F10" s="3" t="s">
        <v>6</v>
      </c>
      <c r="G10" s="3">
        <v>2</v>
      </c>
      <c r="H10" s="3">
        <v>5</v>
      </c>
      <c r="I10" s="4"/>
      <c r="J10" s="1">
        <f t="shared" ref="J10:J14" si="1">H10/$H$14*100</f>
        <v>8.064516129032258</v>
      </c>
      <c r="K10" s="1">
        <f t="shared" si="0"/>
        <v>2.1276595744680851</v>
      </c>
    </row>
    <row r="11" spans="1:11" x14ac:dyDescent="0.25">
      <c r="A11" t="s">
        <v>11</v>
      </c>
      <c r="B11" s="3">
        <v>6</v>
      </c>
      <c r="C11" s="3">
        <v>5</v>
      </c>
      <c r="D11" s="3">
        <v>3</v>
      </c>
      <c r="E11" s="3">
        <v>4</v>
      </c>
      <c r="F11" s="3">
        <v>1</v>
      </c>
      <c r="G11" s="3">
        <v>2</v>
      </c>
      <c r="H11" s="3">
        <v>21</v>
      </c>
      <c r="I11" s="4"/>
      <c r="J11" s="1">
        <f t="shared" si="1"/>
        <v>33.87096774193548</v>
      </c>
      <c r="K11" s="1">
        <f t="shared" si="0"/>
        <v>8.9361702127659584</v>
      </c>
    </row>
    <row r="12" spans="1:11" x14ac:dyDescent="0.25">
      <c r="A12" s="2" t="s">
        <v>12</v>
      </c>
      <c r="B12" s="5">
        <v>7</v>
      </c>
      <c r="C12" s="5">
        <v>6</v>
      </c>
      <c r="D12" s="5">
        <v>4</v>
      </c>
      <c r="E12" s="5">
        <v>8</v>
      </c>
      <c r="F12" s="5">
        <v>4</v>
      </c>
      <c r="G12" s="5">
        <v>4</v>
      </c>
      <c r="H12" s="5">
        <v>33</v>
      </c>
      <c r="I12" s="6"/>
      <c r="J12" s="1">
        <f t="shared" si="1"/>
        <v>53.225806451612897</v>
      </c>
      <c r="K12" s="11">
        <f t="shared" si="0"/>
        <v>14.042553191489363</v>
      </c>
    </row>
    <row r="13" spans="1:11" x14ac:dyDescent="0.25">
      <c r="A13" t="s">
        <v>13</v>
      </c>
      <c r="B13" s="3" t="s">
        <v>6</v>
      </c>
      <c r="C13" s="3">
        <v>1</v>
      </c>
      <c r="D13" s="3" t="s">
        <v>6</v>
      </c>
      <c r="E13" s="3" t="s">
        <v>6</v>
      </c>
      <c r="F13" s="3" t="s">
        <v>6</v>
      </c>
      <c r="G13" s="3" t="s">
        <v>6</v>
      </c>
      <c r="H13" s="3">
        <v>1</v>
      </c>
      <c r="I13" s="4"/>
      <c r="J13" s="1">
        <f t="shared" si="1"/>
        <v>1.6129032258064515</v>
      </c>
      <c r="K13" s="1">
        <f t="shared" si="0"/>
        <v>0.42553191489361702</v>
      </c>
    </row>
    <row r="14" spans="1:11" x14ac:dyDescent="0.25">
      <c r="A14" s="2" t="s">
        <v>55</v>
      </c>
      <c r="B14" s="5">
        <v>14</v>
      </c>
      <c r="C14" s="5">
        <v>13</v>
      </c>
      <c r="D14" s="5">
        <v>8</v>
      </c>
      <c r="E14" s="5">
        <v>14</v>
      </c>
      <c r="F14" s="5">
        <v>5</v>
      </c>
      <c r="G14" s="5">
        <v>8</v>
      </c>
      <c r="H14" s="9">
        <v>62</v>
      </c>
      <c r="I14" s="4">
        <f>H14/H40*100</f>
        <v>26.382978723404253</v>
      </c>
      <c r="J14">
        <f t="shared" si="1"/>
        <v>100</v>
      </c>
      <c r="K14" s="1"/>
    </row>
    <row r="15" spans="1:11" x14ac:dyDescent="0.25">
      <c r="A15" s="7"/>
      <c r="B15" s="8"/>
      <c r="C15" s="8"/>
      <c r="D15" s="8"/>
      <c r="E15" s="8"/>
      <c r="F15" s="8"/>
      <c r="G15" s="8"/>
      <c r="H15" s="8"/>
      <c r="I15" s="4"/>
      <c r="K15" s="1">
        <f t="shared" si="0"/>
        <v>0</v>
      </c>
    </row>
    <row r="16" spans="1:11" x14ac:dyDescent="0.25">
      <c r="A16" t="s">
        <v>14</v>
      </c>
      <c r="B16" s="3" t="s">
        <v>6</v>
      </c>
      <c r="C16" s="3">
        <v>1</v>
      </c>
      <c r="D16" s="3" t="s">
        <v>6</v>
      </c>
      <c r="E16" s="3" t="s">
        <v>6</v>
      </c>
      <c r="F16" s="3" t="s">
        <v>6</v>
      </c>
      <c r="G16" s="3" t="s">
        <v>6</v>
      </c>
      <c r="H16" s="3">
        <v>1</v>
      </c>
      <c r="I16" s="4"/>
      <c r="K16" s="1">
        <f t="shared" si="0"/>
        <v>0.42553191489361702</v>
      </c>
    </row>
    <row r="17" spans="1:11" x14ac:dyDescent="0.25">
      <c r="A17" t="s">
        <v>15</v>
      </c>
      <c r="B17" s="3" t="s">
        <v>6</v>
      </c>
      <c r="C17" s="3" t="s">
        <v>6</v>
      </c>
      <c r="D17" s="3" t="s">
        <v>6</v>
      </c>
      <c r="E17" s="3" t="s">
        <v>6</v>
      </c>
      <c r="F17" s="3">
        <v>2</v>
      </c>
      <c r="G17" s="3">
        <v>1</v>
      </c>
      <c r="H17" s="3">
        <v>3</v>
      </c>
      <c r="I17" s="4"/>
      <c r="K17" s="1">
        <f t="shared" si="0"/>
        <v>1.2765957446808509</v>
      </c>
    </row>
    <row r="18" spans="1:11" x14ac:dyDescent="0.25">
      <c r="A18" t="s">
        <v>16</v>
      </c>
      <c r="B18" s="3" t="s">
        <v>6</v>
      </c>
      <c r="C18" s="3">
        <v>1</v>
      </c>
      <c r="D18" s="3">
        <v>2</v>
      </c>
      <c r="E18" s="3">
        <v>1</v>
      </c>
      <c r="F18" s="3">
        <v>2</v>
      </c>
      <c r="G18" s="3">
        <v>1</v>
      </c>
      <c r="H18" s="3">
        <v>7</v>
      </c>
      <c r="I18" s="4"/>
      <c r="K18" s="1">
        <f t="shared" si="0"/>
        <v>2.9787234042553195</v>
      </c>
    </row>
    <row r="19" spans="1:11" x14ac:dyDescent="0.25">
      <c r="A19" t="s">
        <v>17</v>
      </c>
      <c r="B19" s="3" t="s">
        <v>6</v>
      </c>
      <c r="C19" s="3" t="s">
        <v>6</v>
      </c>
      <c r="D19" s="3">
        <v>1</v>
      </c>
      <c r="E19" s="3" t="s">
        <v>6</v>
      </c>
      <c r="F19" s="3" t="s">
        <v>6</v>
      </c>
      <c r="G19" s="3">
        <v>1</v>
      </c>
      <c r="H19" s="3">
        <v>2</v>
      </c>
      <c r="I19" s="4"/>
      <c r="K19" s="1">
        <f t="shared" si="0"/>
        <v>0.85106382978723405</v>
      </c>
    </row>
    <row r="20" spans="1:11" x14ac:dyDescent="0.25">
      <c r="A20" t="s">
        <v>18</v>
      </c>
      <c r="B20" s="3" t="s">
        <v>6</v>
      </c>
      <c r="C20" s="3" t="s">
        <v>6</v>
      </c>
      <c r="D20" s="3" t="s">
        <v>6</v>
      </c>
      <c r="E20" s="3" t="s">
        <v>6</v>
      </c>
      <c r="F20" s="3" t="s">
        <v>6</v>
      </c>
      <c r="G20" s="3">
        <v>1</v>
      </c>
      <c r="H20" s="3">
        <v>1</v>
      </c>
      <c r="I20" s="4"/>
      <c r="K20" s="1">
        <f t="shared" si="0"/>
        <v>0.42553191489361702</v>
      </c>
    </row>
    <row r="21" spans="1:11" x14ac:dyDescent="0.25">
      <c r="A21" t="s">
        <v>19</v>
      </c>
      <c r="B21" s="3" t="s">
        <v>6</v>
      </c>
      <c r="C21" s="3" t="s">
        <v>6</v>
      </c>
      <c r="D21" s="3" t="s">
        <v>6</v>
      </c>
      <c r="E21" s="3" t="s">
        <v>6</v>
      </c>
      <c r="F21" s="3">
        <v>2</v>
      </c>
      <c r="G21" s="3" t="s">
        <v>6</v>
      </c>
      <c r="H21" s="3">
        <v>2</v>
      </c>
      <c r="I21" s="4"/>
      <c r="K21" s="1">
        <f t="shared" si="0"/>
        <v>0.85106382978723405</v>
      </c>
    </row>
    <row r="22" spans="1:11" x14ac:dyDescent="0.25">
      <c r="A22" t="s">
        <v>20</v>
      </c>
      <c r="B22" s="3">
        <v>1</v>
      </c>
      <c r="C22" s="3" t="s">
        <v>6</v>
      </c>
      <c r="D22" s="3" t="s">
        <v>6</v>
      </c>
      <c r="E22" s="3">
        <v>1</v>
      </c>
      <c r="F22" s="3" t="s">
        <v>6</v>
      </c>
      <c r="G22" s="3">
        <v>1</v>
      </c>
      <c r="H22" s="3">
        <v>3</v>
      </c>
      <c r="I22" s="4"/>
      <c r="K22" s="1">
        <f t="shared" si="0"/>
        <v>1.2765957446808509</v>
      </c>
    </row>
    <row r="23" spans="1:11" x14ac:dyDescent="0.25">
      <c r="A23" t="s">
        <v>21</v>
      </c>
      <c r="B23" s="3">
        <v>1</v>
      </c>
      <c r="C23" s="3">
        <v>2</v>
      </c>
      <c r="D23" s="3">
        <v>1</v>
      </c>
      <c r="E23" s="3" t="s">
        <v>6</v>
      </c>
      <c r="F23" s="3" t="s">
        <v>6</v>
      </c>
      <c r="G23" s="3">
        <v>1</v>
      </c>
      <c r="H23" s="3">
        <v>5</v>
      </c>
      <c r="I23" s="4"/>
      <c r="K23" s="1">
        <f t="shared" si="0"/>
        <v>2.1276595744680851</v>
      </c>
    </row>
    <row r="24" spans="1:11" x14ac:dyDescent="0.25">
      <c r="A24" t="s">
        <v>22</v>
      </c>
      <c r="B24" s="3" t="s">
        <v>6</v>
      </c>
      <c r="C24" s="3">
        <v>1</v>
      </c>
      <c r="D24" s="3" t="s">
        <v>6</v>
      </c>
      <c r="E24" s="3" t="s">
        <v>6</v>
      </c>
      <c r="F24" s="3" t="s">
        <v>6</v>
      </c>
      <c r="G24" s="3" t="s">
        <v>6</v>
      </c>
      <c r="H24" s="3">
        <v>1</v>
      </c>
      <c r="I24" s="4"/>
      <c r="K24" s="1">
        <f t="shared" si="0"/>
        <v>0.42553191489361702</v>
      </c>
    </row>
    <row r="25" spans="1:11" x14ac:dyDescent="0.25">
      <c r="A25" t="s">
        <v>23</v>
      </c>
      <c r="B25" s="3">
        <v>2</v>
      </c>
      <c r="C25" s="3" t="s">
        <v>6</v>
      </c>
      <c r="D25" s="3" t="s">
        <v>6</v>
      </c>
      <c r="E25" s="3">
        <v>1</v>
      </c>
      <c r="F25" s="3">
        <v>1</v>
      </c>
      <c r="G25" s="3">
        <v>5</v>
      </c>
      <c r="H25" s="3">
        <v>9</v>
      </c>
      <c r="I25" s="4"/>
      <c r="K25" s="1">
        <f t="shared" si="0"/>
        <v>3.8297872340425529</v>
      </c>
    </row>
    <row r="26" spans="1:11" x14ac:dyDescent="0.25">
      <c r="A26" t="s">
        <v>24</v>
      </c>
      <c r="B26" s="3" t="s">
        <v>6</v>
      </c>
      <c r="C26" s="3" t="s">
        <v>6</v>
      </c>
      <c r="D26" s="3" t="s">
        <v>6</v>
      </c>
      <c r="E26" s="3">
        <v>1</v>
      </c>
      <c r="F26" s="3" t="s">
        <v>6</v>
      </c>
      <c r="G26" s="3" t="s">
        <v>6</v>
      </c>
      <c r="H26" s="3">
        <v>1</v>
      </c>
      <c r="I26" s="4"/>
      <c r="K26" s="1">
        <f t="shared" si="0"/>
        <v>0.42553191489361702</v>
      </c>
    </row>
    <row r="27" spans="1:11" x14ac:dyDescent="0.25">
      <c r="A27" t="s">
        <v>25</v>
      </c>
      <c r="B27" s="3" t="s">
        <v>6</v>
      </c>
      <c r="C27" s="3">
        <v>1</v>
      </c>
      <c r="D27" s="3" t="s">
        <v>6</v>
      </c>
      <c r="E27" s="3">
        <v>1</v>
      </c>
      <c r="F27" s="3" t="s">
        <v>6</v>
      </c>
      <c r="G27" s="3" t="s">
        <v>6</v>
      </c>
      <c r="H27" s="3">
        <v>2</v>
      </c>
      <c r="I27" s="4"/>
      <c r="K27" s="1">
        <f t="shared" si="0"/>
        <v>0.85106382978723405</v>
      </c>
    </row>
    <row r="28" spans="1:11" x14ac:dyDescent="0.25">
      <c r="A28" t="s">
        <v>26</v>
      </c>
      <c r="B28" s="3">
        <v>1</v>
      </c>
      <c r="C28" s="3" t="s">
        <v>6</v>
      </c>
      <c r="D28" s="3">
        <v>1</v>
      </c>
      <c r="E28" s="3" t="s">
        <v>6</v>
      </c>
      <c r="F28" s="3">
        <v>1</v>
      </c>
      <c r="G28" s="3" t="s">
        <v>6</v>
      </c>
      <c r="H28" s="3">
        <v>3</v>
      </c>
      <c r="I28" s="4"/>
      <c r="K28" s="1">
        <f t="shared" si="0"/>
        <v>1.2765957446808509</v>
      </c>
    </row>
    <row r="29" spans="1:11" x14ac:dyDescent="0.25">
      <c r="A29" t="s">
        <v>27</v>
      </c>
      <c r="B29" s="3">
        <v>1</v>
      </c>
      <c r="C29" s="3">
        <v>2</v>
      </c>
      <c r="D29" s="3">
        <v>1</v>
      </c>
      <c r="E29" s="3">
        <v>3</v>
      </c>
      <c r="F29" s="3" t="s">
        <v>6</v>
      </c>
      <c r="G29" s="3">
        <v>1</v>
      </c>
      <c r="H29" s="3">
        <v>8</v>
      </c>
      <c r="I29" s="4"/>
      <c r="K29" s="1">
        <f t="shared" si="0"/>
        <v>3.4042553191489362</v>
      </c>
    </row>
    <row r="30" spans="1:11" x14ac:dyDescent="0.25">
      <c r="A30" t="s">
        <v>28</v>
      </c>
      <c r="B30" s="3" t="s">
        <v>6</v>
      </c>
      <c r="C30" s="3">
        <v>1</v>
      </c>
      <c r="D30" s="3" t="s">
        <v>6</v>
      </c>
      <c r="E30" s="3" t="s">
        <v>6</v>
      </c>
      <c r="F30" s="3" t="s">
        <v>6</v>
      </c>
      <c r="G30" s="3" t="s">
        <v>6</v>
      </c>
      <c r="H30" s="3">
        <v>1</v>
      </c>
      <c r="I30" s="4"/>
      <c r="K30" s="1">
        <f t="shared" si="0"/>
        <v>0.42553191489361702</v>
      </c>
    </row>
    <row r="31" spans="1:11" x14ac:dyDescent="0.25">
      <c r="A31" t="s">
        <v>29</v>
      </c>
      <c r="B31" s="3">
        <v>5</v>
      </c>
      <c r="C31" s="3" t="s">
        <v>6</v>
      </c>
      <c r="D31" s="3">
        <v>1</v>
      </c>
      <c r="E31" s="3">
        <v>2</v>
      </c>
      <c r="F31" s="3" t="s">
        <v>6</v>
      </c>
      <c r="G31" s="3" t="s">
        <v>6</v>
      </c>
      <c r="H31" s="3">
        <v>8</v>
      </c>
      <c r="I31" s="4"/>
      <c r="K31" s="1">
        <f t="shared" si="0"/>
        <v>3.4042553191489362</v>
      </c>
    </row>
    <row r="32" spans="1:11" x14ac:dyDescent="0.25">
      <c r="A32" s="2" t="s">
        <v>30</v>
      </c>
      <c r="B32" s="5">
        <v>6</v>
      </c>
      <c r="C32" s="5">
        <v>2</v>
      </c>
      <c r="D32" s="5">
        <v>4</v>
      </c>
      <c r="E32" s="5">
        <v>1</v>
      </c>
      <c r="F32" s="5" t="s">
        <v>6</v>
      </c>
      <c r="G32" s="5">
        <v>1</v>
      </c>
      <c r="H32" s="5">
        <v>14</v>
      </c>
      <c r="I32" s="6"/>
      <c r="K32" s="10">
        <f t="shared" si="0"/>
        <v>5.9574468085106389</v>
      </c>
    </row>
    <row r="33" spans="1:11" x14ac:dyDescent="0.25">
      <c r="A33" t="s">
        <v>31</v>
      </c>
      <c r="B33" s="3" t="s">
        <v>6</v>
      </c>
      <c r="C33" s="3" t="s">
        <v>6</v>
      </c>
      <c r="D33" s="3">
        <v>2</v>
      </c>
      <c r="E33" s="3" t="s">
        <v>6</v>
      </c>
      <c r="F33" s="3" t="s">
        <v>6</v>
      </c>
      <c r="G33" s="3" t="s">
        <v>6</v>
      </c>
      <c r="H33" s="3">
        <v>2</v>
      </c>
      <c r="I33" s="4"/>
      <c r="K33" s="1">
        <f t="shared" si="0"/>
        <v>0.85106382978723405</v>
      </c>
    </row>
    <row r="34" spans="1:11" x14ac:dyDescent="0.25">
      <c r="A34" t="s">
        <v>32</v>
      </c>
      <c r="B34" s="3">
        <v>1</v>
      </c>
      <c r="C34" s="3" t="s">
        <v>6</v>
      </c>
      <c r="D34" s="3" t="s">
        <v>6</v>
      </c>
      <c r="E34" s="3" t="s">
        <v>6</v>
      </c>
      <c r="F34" s="3">
        <v>2</v>
      </c>
      <c r="G34" s="3">
        <v>2</v>
      </c>
      <c r="H34" s="3">
        <v>5</v>
      </c>
      <c r="I34" s="4"/>
      <c r="K34" s="1">
        <f t="shared" si="0"/>
        <v>2.1276595744680851</v>
      </c>
    </row>
    <row r="35" spans="1:11" x14ac:dyDescent="0.25">
      <c r="A35" t="s">
        <v>33</v>
      </c>
      <c r="B35" s="3">
        <v>1</v>
      </c>
      <c r="C35" s="3">
        <v>2</v>
      </c>
      <c r="D35" s="3">
        <v>2</v>
      </c>
      <c r="E35" s="3">
        <v>1</v>
      </c>
      <c r="F35" s="3">
        <v>1</v>
      </c>
      <c r="G35" s="3">
        <v>2</v>
      </c>
      <c r="H35" s="3">
        <v>9</v>
      </c>
      <c r="I35" s="4"/>
      <c r="K35" s="1">
        <f t="shared" si="0"/>
        <v>3.8297872340425529</v>
      </c>
    </row>
    <row r="36" spans="1:11" x14ac:dyDescent="0.25">
      <c r="A36" t="s">
        <v>34</v>
      </c>
      <c r="B36" s="3">
        <v>1</v>
      </c>
      <c r="C36" s="3" t="s">
        <v>6</v>
      </c>
      <c r="D36" s="3">
        <v>2</v>
      </c>
      <c r="E36" s="3" t="s">
        <v>6</v>
      </c>
      <c r="F36" s="3">
        <v>2</v>
      </c>
      <c r="G36" s="3" t="s">
        <v>6</v>
      </c>
      <c r="H36" s="3">
        <v>5</v>
      </c>
      <c r="I36" s="4"/>
      <c r="K36" s="1">
        <f t="shared" si="0"/>
        <v>2.1276595744680851</v>
      </c>
    </row>
    <row r="37" spans="1:11" x14ac:dyDescent="0.25">
      <c r="A37" t="s">
        <v>35</v>
      </c>
      <c r="B37" s="3" t="s">
        <v>6</v>
      </c>
      <c r="C37" s="3">
        <v>1</v>
      </c>
      <c r="D37" s="3">
        <v>2</v>
      </c>
      <c r="E37" s="3">
        <v>1</v>
      </c>
      <c r="F37" s="3" t="s">
        <v>6</v>
      </c>
      <c r="G37" s="3">
        <v>1</v>
      </c>
      <c r="H37" s="3">
        <v>5</v>
      </c>
      <c r="I37" s="4"/>
      <c r="K37" s="1">
        <f t="shared" si="0"/>
        <v>2.1276595744680851</v>
      </c>
    </row>
    <row r="38" spans="1:11" x14ac:dyDescent="0.25">
      <c r="A38" s="2" t="s">
        <v>36</v>
      </c>
      <c r="B38" s="5" t="s">
        <v>6</v>
      </c>
      <c r="C38" s="5">
        <v>7</v>
      </c>
      <c r="D38" s="5">
        <v>20</v>
      </c>
      <c r="E38" s="5">
        <v>1</v>
      </c>
      <c r="F38" s="5" t="s">
        <v>6</v>
      </c>
      <c r="G38" s="5">
        <v>1</v>
      </c>
      <c r="H38" s="5">
        <v>29</v>
      </c>
      <c r="I38" s="6"/>
      <c r="K38" s="10">
        <f t="shared" si="0"/>
        <v>12.340425531914894</v>
      </c>
    </row>
    <row r="39" spans="1:11" x14ac:dyDescent="0.25">
      <c r="A39" s="2" t="s">
        <v>37</v>
      </c>
      <c r="B39" s="5">
        <v>5</v>
      </c>
      <c r="C39" s="5">
        <v>4</v>
      </c>
      <c r="D39" s="5">
        <v>8</v>
      </c>
      <c r="E39" s="5">
        <v>8</v>
      </c>
      <c r="F39" s="5">
        <v>5</v>
      </c>
      <c r="G39" s="5">
        <v>7</v>
      </c>
      <c r="H39" s="5">
        <v>37</v>
      </c>
      <c r="I39" s="6"/>
      <c r="K39" s="10">
        <f t="shared" si="0"/>
        <v>15.74468085106383</v>
      </c>
    </row>
    <row r="40" spans="1:11" x14ac:dyDescent="0.25">
      <c r="A40" t="s">
        <v>4</v>
      </c>
      <c r="B40" s="3">
        <v>41</v>
      </c>
      <c r="C40" s="3">
        <v>40</v>
      </c>
      <c r="D40" s="3">
        <v>59</v>
      </c>
      <c r="E40" s="3">
        <v>37</v>
      </c>
      <c r="F40" s="3">
        <v>23</v>
      </c>
      <c r="G40" s="3">
        <v>35</v>
      </c>
      <c r="H40" s="3">
        <v>235</v>
      </c>
      <c r="K40" s="1">
        <f t="shared" si="0"/>
        <v>100</v>
      </c>
    </row>
    <row r="42" spans="1:11" x14ac:dyDescent="0.25">
      <c r="A42" t="s">
        <v>38</v>
      </c>
    </row>
    <row r="43" spans="1:11" x14ac:dyDescent="0.25">
      <c r="A43" t="s">
        <v>39</v>
      </c>
    </row>
    <row r="44" spans="1:11" x14ac:dyDescent="0.25">
      <c r="A44" t="s">
        <v>40</v>
      </c>
    </row>
    <row r="45" spans="1:11" x14ac:dyDescent="0.25">
      <c r="A45" t="s">
        <v>41</v>
      </c>
    </row>
    <row r="46" spans="1:11" x14ac:dyDescent="0.25">
      <c r="A46" t="s">
        <v>42</v>
      </c>
    </row>
    <row r="47" spans="1:11" x14ac:dyDescent="0.25">
      <c r="A47" t="s">
        <v>43</v>
      </c>
    </row>
    <row r="48" spans="1:1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40</v>
      </c>
    </row>
    <row r="59" spans="1:1" x14ac:dyDescent="0.25">
      <c r="A59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"/>
  <sheetViews>
    <sheetView workbookViewId="0">
      <selection activeCell="E12" sqref="E12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57</v>
      </c>
    </row>
    <row r="3" spans="1:7" x14ac:dyDescent="0.25">
      <c r="A3" t="s">
        <v>2</v>
      </c>
    </row>
    <row r="4" spans="1:7" x14ac:dyDescent="0.25">
      <c r="A4" t="s">
        <v>3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4</v>
      </c>
    </row>
    <row r="5" spans="1:7" x14ac:dyDescent="0.25">
      <c r="A5" t="s">
        <v>5</v>
      </c>
      <c r="B5" t="s">
        <v>6</v>
      </c>
      <c r="C5" t="s">
        <v>6</v>
      </c>
      <c r="D5">
        <v>1</v>
      </c>
      <c r="E5" t="s">
        <v>6</v>
      </c>
      <c r="F5" t="s">
        <v>6</v>
      </c>
      <c r="G5">
        <v>1</v>
      </c>
    </row>
    <row r="6" spans="1:7" x14ac:dyDescent="0.25">
      <c r="A6" t="s">
        <v>7</v>
      </c>
      <c r="B6" t="s">
        <v>6</v>
      </c>
      <c r="C6" t="s">
        <v>6</v>
      </c>
      <c r="D6">
        <v>3</v>
      </c>
      <c r="E6">
        <v>2</v>
      </c>
      <c r="F6" t="s">
        <v>6</v>
      </c>
      <c r="G6">
        <v>5</v>
      </c>
    </row>
    <row r="7" spans="1:7" x14ac:dyDescent="0.25">
      <c r="A7" t="s">
        <v>8</v>
      </c>
      <c r="B7" t="s">
        <v>6</v>
      </c>
      <c r="C7" t="s">
        <v>6</v>
      </c>
      <c r="D7">
        <v>3</v>
      </c>
      <c r="E7">
        <v>1</v>
      </c>
      <c r="F7" t="s">
        <v>6</v>
      </c>
      <c r="G7">
        <v>4</v>
      </c>
    </row>
    <row r="8" spans="1:7" x14ac:dyDescent="0.25">
      <c r="A8" t="s">
        <v>9</v>
      </c>
      <c r="B8" t="s">
        <v>6</v>
      </c>
      <c r="C8" t="s">
        <v>6</v>
      </c>
      <c r="D8" t="s">
        <v>6</v>
      </c>
      <c r="E8">
        <v>2</v>
      </c>
      <c r="F8" t="s">
        <v>6</v>
      </c>
      <c r="G8">
        <v>2</v>
      </c>
    </row>
    <row r="9" spans="1:7" x14ac:dyDescent="0.25">
      <c r="A9" t="s">
        <v>10</v>
      </c>
      <c r="B9" t="s">
        <v>6</v>
      </c>
      <c r="C9" t="s">
        <v>6</v>
      </c>
      <c r="D9">
        <v>1</v>
      </c>
      <c r="E9">
        <v>4</v>
      </c>
      <c r="F9" t="s">
        <v>6</v>
      </c>
      <c r="G9">
        <v>5</v>
      </c>
    </row>
    <row r="10" spans="1:7" x14ac:dyDescent="0.25">
      <c r="A10" t="s">
        <v>11</v>
      </c>
      <c r="B10">
        <v>1</v>
      </c>
      <c r="C10" t="s">
        <v>6</v>
      </c>
      <c r="D10">
        <v>10</v>
      </c>
      <c r="E10">
        <v>10</v>
      </c>
      <c r="F10" t="s">
        <v>6</v>
      </c>
      <c r="G10">
        <v>21</v>
      </c>
    </row>
    <row r="11" spans="1:7" x14ac:dyDescent="0.25">
      <c r="A11" t="s">
        <v>12</v>
      </c>
      <c r="B11" t="s">
        <v>6</v>
      </c>
      <c r="C11">
        <v>3</v>
      </c>
      <c r="D11">
        <v>12</v>
      </c>
      <c r="E11">
        <v>16</v>
      </c>
      <c r="F11">
        <v>2</v>
      </c>
      <c r="G11">
        <v>33</v>
      </c>
    </row>
    <row r="12" spans="1:7" x14ac:dyDescent="0.25">
      <c r="A12" t="s">
        <v>13</v>
      </c>
      <c r="B12" t="s">
        <v>6</v>
      </c>
      <c r="C12" t="s">
        <v>6</v>
      </c>
      <c r="D12" t="s">
        <v>6</v>
      </c>
      <c r="E12">
        <v>1</v>
      </c>
      <c r="F12" t="s">
        <v>6</v>
      </c>
      <c r="G12">
        <v>1</v>
      </c>
    </row>
    <row r="13" spans="1:7" x14ac:dyDescent="0.25">
      <c r="A13" t="s">
        <v>14</v>
      </c>
      <c r="B13" t="s">
        <v>6</v>
      </c>
      <c r="C13" t="s">
        <v>6</v>
      </c>
      <c r="D13" t="s">
        <v>6</v>
      </c>
      <c r="E13">
        <v>1</v>
      </c>
      <c r="F13" t="s">
        <v>6</v>
      </c>
      <c r="G13">
        <v>1</v>
      </c>
    </row>
    <row r="14" spans="1:7" x14ac:dyDescent="0.25">
      <c r="A14" t="s">
        <v>15</v>
      </c>
      <c r="B14" t="s">
        <v>6</v>
      </c>
      <c r="C14">
        <v>1</v>
      </c>
      <c r="D14">
        <v>1</v>
      </c>
      <c r="E14" t="s">
        <v>6</v>
      </c>
      <c r="F14">
        <v>1</v>
      </c>
      <c r="G14">
        <v>3</v>
      </c>
    </row>
    <row r="15" spans="1:7" x14ac:dyDescent="0.25">
      <c r="A15" t="s">
        <v>16</v>
      </c>
      <c r="B15" t="s">
        <v>6</v>
      </c>
      <c r="C15" t="s">
        <v>6</v>
      </c>
      <c r="D15">
        <v>2</v>
      </c>
      <c r="E15">
        <v>4</v>
      </c>
      <c r="F15">
        <v>1</v>
      </c>
      <c r="G15">
        <v>7</v>
      </c>
    </row>
    <row r="16" spans="1:7" x14ac:dyDescent="0.25">
      <c r="A16" t="s">
        <v>17</v>
      </c>
      <c r="B16" t="s">
        <v>6</v>
      </c>
      <c r="C16" t="s">
        <v>6</v>
      </c>
      <c r="D16" t="s">
        <v>6</v>
      </c>
      <c r="E16">
        <v>1</v>
      </c>
      <c r="F16">
        <v>1</v>
      </c>
      <c r="G16">
        <v>2</v>
      </c>
    </row>
    <row r="17" spans="1:7" x14ac:dyDescent="0.25">
      <c r="A17" t="s">
        <v>18</v>
      </c>
      <c r="B17" t="s">
        <v>6</v>
      </c>
      <c r="C17" t="s">
        <v>6</v>
      </c>
      <c r="D17" t="s">
        <v>6</v>
      </c>
      <c r="E17">
        <v>1</v>
      </c>
      <c r="F17" t="s">
        <v>6</v>
      </c>
      <c r="G17">
        <v>1</v>
      </c>
    </row>
    <row r="18" spans="1:7" x14ac:dyDescent="0.25">
      <c r="A18" t="s">
        <v>19</v>
      </c>
      <c r="B18" t="s">
        <v>6</v>
      </c>
      <c r="C18" t="s">
        <v>6</v>
      </c>
      <c r="D18" t="s">
        <v>6</v>
      </c>
      <c r="E18">
        <v>2</v>
      </c>
      <c r="F18" t="s">
        <v>6</v>
      </c>
      <c r="G18">
        <v>2</v>
      </c>
    </row>
    <row r="19" spans="1:7" x14ac:dyDescent="0.25">
      <c r="A19" t="s">
        <v>20</v>
      </c>
      <c r="B19" t="s">
        <v>6</v>
      </c>
      <c r="C19" t="s">
        <v>6</v>
      </c>
      <c r="D19">
        <v>3</v>
      </c>
      <c r="E19" t="s">
        <v>6</v>
      </c>
      <c r="F19" t="s">
        <v>6</v>
      </c>
      <c r="G19">
        <v>3</v>
      </c>
    </row>
    <row r="20" spans="1:7" x14ac:dyDescent="0.25">
      <c r="A20" t="s">
        <v>21</v>
      </c>
      <c r="B20" t="s">
        <v>6</v>
      </c>
      <c r="C20" t="s">
        <v>6</v>
      </c>
      <c r="D20">
        <v>1</v>
      </c>
      <c r="E20">
        <v>4</v>
      </c>
      <c r="F20" t="s">
        <v>6</v>
      </c>
      <c r="G20">
        <v>5</v>
      </c>
    </row>
    <row r="21" spans="1:7" x14ac:dyDescent="0.25">
      <c r="A21" t="s">
        <v>22</v>
      </c>
      <c r="B21" t="s">
        <v>6</v>
      </c>
      <c r="C21" t="s">
        <v>6</v>
      </c>
      <c r="D21" t="s">
        <v>6</v>
      </c>
      <c r="E21">
        <v>1</v>
      </c>
      <c r="F21" t="s">
        <v>6</v>
      </c>
      <c r="G21">
        <v>1</v>
      </c>
    </row>
    <row r="22" spans="1:7" x14ac:dyDescent="0.25">
      <c r="A22" t="s">
        <v>23</v>
      </c>
      <c r="B22" t="s">
        <v>6</v>
      </c>
      <c r="C22" t="s">
        <v>6</v>
      </c>
      <c r="D22">
        <v>6</v>
      </c>
      <c r="E22">
        <v>1</v>
      </c>
      <c r="F22">
        <v>2</v>
      </c>
      <c r="G22">
        <v>9</v>
      </c>
    </row>
    <row r="23" spans="1:7" x14ac:dyDescent="0.25">
      <c r="A23" t="s">
        <v>24</v>
      </c>
      <c r="B23" t="s">
        <v>6</v>
      </c>
      <c r="C23" t="s">
        <v>6</v>
      </c>
      <c r="D23">
        <v>1</v>
      </c>
      <c r="E23" t="s">
        <v>6</v>
      </c>
      <c r="F23" t="s">
        <v>6</v>
      </c>
      <c r="G23">
        <v>1</v>
      </c>
    </row>
    <row r="24" spans="1:7" x14ac:dyDescent="0.25">
      <c r="A24" t="s">
        <v>25</v>
      </c>
      <c r="B24" t="s">
        <v>6</v>
      </c>
      <c r="C24" t="s">
        <v>6</v>
      </c>
      <c r="D24">
        <v>1</v>
      </c>
      <c r="E24" t="s">
        <v>6</v>
      </c>
      <c r="F24">
        <v>1</v>
      </c>
      <c r="G24">
        <v>2</v>
      </c>
    </row>
    <row r="25" spans="1:7" x14ac:dyDescent="0.25">
      <c r="A25" t="s">
        <v>26</v>
      </c>
      <c r="B25" t="s">
        <v>6</v>
      </c>
      <c r="C25" t="s">
        <v>6</v>
      </c>
      <c r="D25">
        <v>3</v>
      </c>
      <c r="E25" t="s">
        <v>6</v>
      </c>
      <c r="F25" t="s">
        <v>6</v>
      </c>
      <c r="G25">
        <v>3</v>
      </c>
    </row>
    <row r="26" spans="1:7" x14ac:dyDescent="0.25">
      <c r="A26" t="s">
        <v>27</v>
      </c>
      <c r="B26" t="s">
        <v>6</v>
      </c>
      <c r="C26">
        <v>1</v>
      </c>
      <c r="D26">
        <v>2</v>
      </c>
      <c r="E26">
        <v>4</v>
      </c>
      <c r="F26">
        <v>1</v>
      </c>
      <c r="G26">
        <v>8</v>
      </c>
    </row>
    <row r="27" spans="1:7" x14ac:dyDescent="0.25">
      <c r="A27" t="s">
        <v>28</v>
      </c>
      <c r="B27" t="s">
        <v>6</v>
      </c>
      <c r="C27" t="s">
        <v>6</v>
      </c>
      <c r="D27">
        <v>1</v>
      </c>
      <c r="E27" t="s">
        <v>6</v>
      </c>
      <c r="F27" t="s">
        <v>6</v>
      </c>
      <c r="G27">
        <v>1</v>
      </c>
    </row>
    <row r="28" spans="1:7" x14ac:dyDescent="0.25">
      <c r="A28" t="s">
        <v>29</v>
      </c>
      <c r="B28" t="s">
        <v>6</v>
      </c>
      <c r="C28">
        <v>1</v>
      </c>
      <c r="D28">
        <v>1</v>
      </c>
      <c r="E28">
        <v>6</v>
      </c>
      <c r="F28" t="s">
        <v>6</v>
      </c>
      <c r="G28">
        <v>8</v>
      </c>
    </row>
    <row r="29" spans="1:7" x14ac:dyDescent="0.25">
      <c r="A29" t="s">
        <v>30</v>
      </c>
      <c r="B29" t="s">
        <v>6</v>
      </c>
      <c r="C29">
        <v>1</v>
      </c>
      <c r="D29">
        <v>4</v>
      </c>
      <c r="E29">
        <v>8</v>
      </c>
      <c r="F29">
        <v>1</v>
      </c>
      <c r="G29">
        <v>14</v>
      </c>
    </row>
    <row r="30" spans="1:7" x14ac:dyDescent="0.25">
      <c r="A30" t="s">
        <v>31</v>
      </c>
      <c r="B30" t="s">
        <v>6</v>
      </c>
      <c r="C30" t="s">
        <v>6</v>
      </c>
      <c r="D30">
        <v>2</v>
      </c>
      <c r="E30" t="s">
        <v>6</v>
      </c>
      <c r="F30" t="s">
        <v>6</v>
      </c>
      <c r="G30">
        <v>2</v>
      </c>
    </row>
    <row r="31" spans="1:7" x14ac:dyDescent="0.25">
      <c r="A31" t="s">
        <v>32</v>
      </c>
      <c r="B31" t="s">
        <v>6</v>
      </c>
      <c r="C31">
        <v>1</v>
      </c>
      <c r="D31">
        <v>2</v>
      </c>
      <c r="E31">
        <v>2</v>
      </c>
      <c r="F31" t="s">
        <v>6</v>
      </c>
      <c r="G31">
        <v>5</v>
      </c>
    </row>
    <row r="32" spans="1:7" x14ac:dyDescent="0.25">
      <c r="A32" t="s">
        <v>33</v>
      </c>
      <c r="B32" t="s">
        <v>6</v>
      </c>
      <c r="C32">
        <v>2</v>
      </c>
      <c r="D32">
        <v>3</v>
      </c>
      <c r="E32">
        <v>4</v>
      </c>
      <c r="F32" t="s">
        <v>6</v>
      </c>
      <c r="G32">
        <v>9</v>
      </c>
    </row>
    <row r="33" spans="1:7" x14ac:dyDescent="0.25">
      <c r="A33" t="s">
        <v>34</v>
      </c>
      <c r="B33">
        <v>1</v>
      </c>
      <c r="C33">
        <v>1</v>
      </c>
      <c r="D33">
        <v>1</v>
      </c>
      <c r="E33">
        <v>1</v>
      </c>
      <c r="F33">
        <v>1</v>
      </c>
      <c r="G33">
        <v>5</v>
      </c>
    </row>
    <row r="34" spans="1:7" x14ac:dyDescent="0.25">
      <c r="A34" t="s">
        <v>35</v>
      </c>
      <c r="B34" t="s">
        <v>6</v>
      </c>
      <c r="C34">
        <v>1</v>
      </c>
      <c r="D34">
        <v>2</v>
      </c>
      <c r="E34">
        <v>2</v>
      </c>
      <c r="F34" t="s">
        <v>6</v>
      </c>
      <c r="G34">
        <v>5</v>
      </c>
    </row>
    <row r="35" spans="1:7" x14ac:dyDescent="0.25">
      <c r="A35" t="s">
        <v>36</v>
      </c>
      <c r="B35" t="s">
        <v>6</v>
      </c>
      <c r="C35">
        <v>1</v>
      </c>
      <c r="D35">
        <v>16</v>
      </c>
      <c r="E35">
        <v>11</v>
      </c>
      <c r="F35">
        <v>1</v>
      </c>
      <c r="G35">
        <v>29</v>
      </c>
    </row>
    <row r="36" spans="1:7" x14ac:dyDescent="0.25">
      <c r="A36" t="s">
        <v>37</v>
      </c>
      <c r="B36" t="s">
        <v>6</v>
      </c>
      <c r="C36">
        <v>7</v>
      </c>
      <c r="D36">
        <v>16</v>
      </c>
      <c r="E36">
        <v>14</v>
      </c>
      <c r="F36" t="s">
        <v>6</v>
      </c>
      <c r="G36">
        <v>37</v>
      </c>
    </row>
    <row r="37" spans="1:7" x14ac:dyDescent="0.25">
      <c r="A37" t="s">
        <v>4</v>
      </c>
      <c r="B37">
        <v>2</v>
      </c>
      <c r="C37">
        <v>20</v>
      </c>
      <c r="D37">
        <v>98</v>
      </c>
      <c r="E37">
        <v>103</v>
      </c>
      <c r="F37">
        <v>12</v>
      </c>
      <c r="G37">
        <v>235</v>
      </c>
    </row>
    <row r="38" spans="1:7" x14ac:dyDescent="0.25">
      <c r="A38" t="s">
        <v>38</v>
      </c>
    </row>
    <row r="39" spans="1:7" x14ac:dyDescent="0.25">
      <c r="A39" t="s">
        <v>39</v>
      </c>
    </row>
    <row r="40" spans="1:7" x14ac:dyDescent="0.25">
      <c r="A40" t="s">
        <v>40</v>
      </c>
    </row>
    <row r="41" spans="1:7" x14ac:dyDescent="0.25">
      <c r="A41" t="s">
        <v>41</v>
      </c>
    </row>
    <row r="42" spans="1:7" x14ac:dyDescent="0.25">
      <c r="A42" t="s">
        <v>42</v>
      </c>
    </row>
    <row r="43" spans="1:7" x14ac:dyDescent="0.25">
      <c r="A43" t="s">
        <v>43</v>
      </c>
    </row>
    <row r="44" spans="1:7" x14ac:dyDescent="0.25">
      <c r="A44" t="s">
        <v>44</v>
      </c>
    </row>
    <row r="45" spans="1:7" x14ac:dyDescent="0.25">
      <c r="A45" t="s">
        <v>45</v>
      </c>
    </row>
    <row r="46" spans="1:7" x14ac:dyDescent="0.25">
      <c r="A46" t="s">
        <v>46</v>
      </c>
    </row>
    <row r="47" spans="1:7" x14ac:dyDescent="0.25">
      <c r="A47" t="s">
        <v>47</v>
      </c>
    </row>
    <row r="48" spans="1:7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40</v>
      </c>
    </row>
    <row r="55" spans="1:1" x14ac:dyDescent="0.25">
      <c r="A55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>
      <selection activeCell="E9" sqref="E9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63</v>
      </c>
    </row>
    <row r="3" spans="1:8" x14ac:dyDescent="0.25">
      <c r="A3" t="s">
        <v>2</v>
      </c>
    </row>
    <row r="4" spans="1:8" x14ac:dyDescent="0.25">
      <c r="A4" t="s">
        <v>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4</v>
      </c>
    </row>
    <row r="5" spans="1:8" x14ac:dyDescent="0.25">
      <c r="A5" t="s">
        <v>5</v>
      </c>
      <c r="B5" t="s">
        <v>6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>
        <v>1</v>
      </c>
    </row>
    <row r="6" spans="1:8" x14ac:dyDescent="0.25">
      <c r="A6" t="s">
        <v>7</v>
      </c>
      <c r="B6">
        <v>4</v>
      </c>
      <c r="C6" t="s">
        <v>6</v>
      </c>
      <c r="D6" t="s">
        <v>6</v>
      </c>
      <c r="E6">
        <v>1</v>
      </c>
      <c r="F6" t="s">
        <v>6</v>
      </c>
      <c r="G6" t="s">
        <v>6</v>
      </c>
      <c r="H6">
        <v>5</v>
      </c>
    </row>
    <row r="7" spans="1:8" x14ac:dyDescent="0.25">
      <c r="A7" t="s">
        <v>8</v>
      </c>
      <c r="B7">
        <v>4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>
        <v>4</v>
      </c>
    </row>
    <row r="8" spans="1:8" x14ac:dyDescent="0.25">
      <c r="A8" t="s">
        <v>9</v>
      </c>
      <c r="B8">
        <v>2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>
        <v>2</v>
      </c>
    </row>
    <row r="9" spans="1:8" x14ac:dyDescent="0.25">
      <c r="A9" t="s">
        <v>10</v>
      </c>
      <c r="B9">
        <v>4</v>
      </c>
      <c r="C9" t="s">
        <v>6</v>
      </c>
      <c r="D9">
        <v>1</v>
      </c>
      <c r="E9" t="s">
        <v>6</v>
      </c>
      <c r="F9" t="s">
        <v>6</v>
      </c>
      <c r="G9" t="s">
        <v>6</v>
      </c>
      <c r="H9">
        <v>5</v>
      </c>
    </row>
    <row r="10" spans="1:8" x14ac:dyDescent="0.25">
      <c r="A10" t="s">
        <v>11</v>
      </c>
      <c r="B10">
        <v>21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>
        <v>21</v>
      </c>
    </row>
    <row r="11" spans="1:8" x14ac:dyDescent="0.25">
      <c r="A11" t="s">
        <v>12</v>
      </c>
      <c r="B11">
        <v>30</v>
      </c>
      <c r="C11">
        <v>1</v>
      </c>
      <c r="D11" t="s">
        <v>6</v>
      </c>
      <c r="E11" t="s">
        <v>6</v>
      </c>
      <c r="F11">
        <v>2</v>
      </c>
      <c r="G11" t="s">
        <v>6</v>
      </c>
      <c r="H11">
        <v>33</v>
      </c>
    </row>
    <row r="12" spans="1:8" x14ac:dyDescent="0.25">
      <c r="A12" t="s">
        <v>13</v>
      </c>
      <c r="B12">
        <v>1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>
        <v>1</v>
      </c>
    </row>
    <row r="13" spans="1:8" x14ac:dyDescent="0.25">
      <c r="A13" t="s">
        <v>14</v>
      </c>
      <c r="B13">
        <v>1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>
        <v>1</v>
      </c>
    </row>
    <row r="14" spans="1:8" x14ac:dyDescent="0.25">
      <c r="A14" t="s">
        <v>15</v>
      </c>
      <c r="B14">
        <v>3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>
        <v>3</v>
      </c>
    </row>
    <row r="15" spans="1:8" x14ac:dyDescent="0.25">
      <c r="A15" t="s">
        <v>16</v>
      </c>
      <c r="B15">
        <v>6</v>
      </c>
      <c r="C15" t="s">
        <v>6</v>
      </c>
      <c r="D15">
        <v>1</v>
      </c>
      <c r="E15" t="s">
        <v>6</v>
      </c>
      <c r="F15" t="s">
        <v>6</v>
      </c>
      <c r="G15" t="s">
        <v>6</v>
      </c>
      <c r="H15">
        <v>7</v>
      </c>
    </row>
    <row r="16" spans="1:8" x14ac:dyDescent="0.25">
      <c r="A16" t="s">
        <v>17</v>
      </c>
      <c r="B16">
        <v>2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>
        <v>2</v>
      </c>
    </row>
    <row r="17" spans="1:8" x14ac:dyDescent="0.25">
      <c r="A17" t="s">
        <v>18</v>
      </c>
      <c r="B17">
        <v>1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>
        <v>1</v>
      </c>
    </row>
    <row r="18" spans="1:8" x14ac:dyDescent="0.25">
      <c r="A18" t="s">
        <v>19</v>
      </c>
      <c r="B18">
        <v>2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>
        <v>2</v>
      </c>
    </row>
    <row r="19" spans="1:8" x14ac:dyDescent="0.25">
      <c r="A19" t="s">
        <v>20</v>
      </c>
      <c r="B19">
        <v>3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>
        <v>3</v>
      </c>
    </row>
    <row r="20" spans="1:8" x14ac:dyDescent="0.25">
      <c r="A20" t="s">
        <v>21</v>
      </c>
      <c r="B20">
        <v>5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>
        <v>5</v>
      </c>
    </row>
    <row r="21" spans="1:8" x14ac:dyDescent="0.25">
      <c r="A21" t="s">
        <v>22</v>
      </c>
      <c r="B21">
        <v>1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>
        <v>1</v>
      </c>
    </row>
    <row r="22" spans="1:8" x14ac:dyDescent="0.25">
      <c r="A22" t="s">
        <v>23</v>
      </c>
      <c r="B22">
        <v>9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>
        <v>9</v>
      </c>
    </row>
    <row r="23" spans="1:8" x14ac:dyDescent="0.25">
      <c r="A23" t="s">
        <v>24</v>
      </c>
      <c r="B23">
        <v>1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>
        <v>1</v>
      </c>
    </row>
    <row r="24" spans="1:8" x14ac:dyDescent="0.25">
      <c r="A24" t="s">
        <v>25</v>
      </c>
      <c r="B24">
        <v>2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>
        <v>2</v>
      </c>
    </row>
    <row r="25" spans="1:8" x14ac:dyDescent="0.25">
      <c r="A25" t="s">
        <v>26</v>
      </c>
      <c r="B25">
        <v>3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>
        <v>3</v>
      </c>
    </row>
    <row r="26" spans="1:8" x14ac:dyDescent="0.25">
      <c r="A26" t="s">
        <v>27</v>
      </c>
      <c r="B26">
        <v>7</v>
      </c>
      <c r="C26" t="s">
        <v>6</v>
      </c>
      <c r="D26" t="s">
        <v>6</v>
      </c>
      <c r="E26" t="s">
        <v>6</v>
      </c>
      <c r="F26" t="s">
        <v>6</v>
      </c>
      <c r="G26">
        <v>1</v>
      </c>
      <c r="H26">
        <v>8</v>
      </c>
    </row>
    <row r="27" spans="1:8" x14ac:dyDescent="0.25">
      <c r="A27" t="s">
        <v>28</v>
      </c>
      <c r="B27" t="s">
        <v>6</v>
      </c>
      <c r="C27">
        <v>1</v>
      </c>
      <c r="D27" t="s">
        <v>6</v>
      </c>
      <c r="E27" t="s">
        <v>6</v>
      </c>
      <c r="F27" t="s">
        <v>6</v>
      </c>
      <c r="G27" t="s">
        <v>6</v>
      </c>
      <c r="H27">
        <v>1</v>
      </c>
    </row>
    <row r="28" spans="1:8" x14ac:dyDescent="0.25">
      <c r="A28" t="s">
        <v>29</v>
      </c>
      <c r="B28">
        <v>8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>
        <v>8</v>
      </c>
    </row>
    <row r="29" spans="1:8" x14ac:dyDescent="0.25">
      <c r="A29" t="s">
        <v>30</v>
      </c>
      <c r="B29">
        <v>14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>
        <v>14</v>
      </c>
    </row>
    <row r="30" spans="1:8" x14ac:dyDescent="0.25">
      <c r="A30" t="s">
        <v>31</v>
      </c>
      <c r="B30">
        <v>2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>
        <v>2</v>
      </c>
    </row>
    <row r="31" spans="1:8" x14ac:dyDescent="0.25">
      <c r="A31" t="s">
        <v>32</v>
      </c>
      <c r="B31">
        <v>4</v>
      </c>
      <c r="C31" t="s">
        <v>6</v>
      </c>
      <c r="D31">
        <v>1</v>
      </c>
      <c r="E31" t="s">
        <v>6</v>
      </c>
      <c r="F31" t="s">
        <v>6</v>
      </c>
      <c r="G31" t="s">
        <v>6</v>
      </c>
      <c r="H31">
        <v>5</v>
      </c>
    </row>
    <row r="32" spans="1:8" x14ac:dyDescent="0.25">
      <c r="A32" t="s">
        <v>33</v>
      </c>
      <c r="B32">
        <v>9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>
        <v>9</v>
      </c>
    </row>
    <row r="33" spans="1:8" x14ac:dyDescent="0.25">
      <c r="A33" t="s">
        <v>34</v>
      </c>
      <c r="B33">
        <v>4</v>
      </c>
      <c r="C33" t="s">
        <v>6</v>
      </c>
      <c r="D33">
        <v>1</v>
      </c>
      <c r="E33" t="s">
        <v>6</v>
      </c>
      <c r="F33" t="s">
        <v>6</v>
      </c>
      <c r="G33" t="s">
        <v>6</v>
      </c>
      <c r="H33">
        <v>5</v>
      </c>
    </row>
    <row r="34" spans="1:8" x14ac:dyDescent="0.25">
      <c r="A34" t="s">
        <v>35</v>
      </c>
      <c r="B34">
        <v>3</v>
      </c>
      <c r="C34">
        <v>1</v>
      </c>
      <c r="D34">
        <v>1</v>
      </c>
      <c r="E34" t="s">
        <v>6</v>
      </c>
      <c r="F34" t="s">
        <v>6</v>
      </c>
      <c r="G34" t="s">
        <v>6</v>
      </c>
      <c r="H34">
        <v>5</v>
      </c>
    </row>
    <row r="35" spans="1:8" x14ac:dyDescent="0.25">
      <c r="A35" t="s">
        <v>36</v>
      </c>
      <c r="B35">
        <v>28</v>
      </c>
      <c r="C35" t="s">
        <v>6</v>
      </c>
      <c r="D35" t="s">
        <v>6</v>
      </c>
      <c r="E35" t="s">
        <v>6</v>
      </c>
      <c r="F35">
        <v>1</v>
      </c>
      <c r="G35" t="s">
        <v>6</v>
      </c>
      <c r="H35">
        <v>29</v>
      </c>
    </row>
    <row r="36" spans="1:8" x14ac:dyDescent="0.25">
      <c r="A36" t="s">
        <v>37</v>
      </c>
      <c r="B36">
        <v>35</v>
      </c>
      <c r="C36" t="s">
        <v>6</v>
      </c>
      <c r="D36">
        <v>2</v>
      </c>
      <c r="E36" t="s">
        <v>6</v>
      </c>
      <c r="F36" t="s">
        <v>6</v>
      </c>
      <c r="G36" t="s">
        <v>6</v>
      </c>
      <c r="H36">
        <v>37</v>
      </c>
    </row>
    <row r="37" spans="1:8" x14ac:dyDescent="0.25">
      <c r="A37" t="s">
        <v>4</v>
      </c>
      <c r="B37">
        <v>219</v>
      </c>
      <c r="C37">
        <v>3</v>
      </c>
      <c r="D37">
        <v>8</v>
      </c>
      <c r="E37">
        <v>1</v>
      </c>
      <c r="F37">
        <v>3</v>
      </c>
      <c r="G37">
        <v>1</v>
      </c>
      <c r="H37">
        <v>235</v>
      </c>
    </row>
    <row r="38" spans="1:8" x14ac:dyDescent="0.25">
      <c r="A38" t="s">
        <v>38</v>
      </c>
    </row>
    <row r="39" spans="1:8" x14ac:dyDescent="0.25">
      <c r="A39" t="s">
        <v>39</v>
      </c>
    </row>
    <row r="40" spans="1:8" x14ac:dyDescent="0.25">
      <c r="A40" t="s">
        <v>40</v>
      </c>
    </row>
    <row r="41" spans="1:8" x14ac:dyDescent="0.25">
      <c r="A41" t="s">
        <v>41</v>
      </c>
    </row>
    <row r="42" spans="1:8" x14ac:dyDescent="0.25">
      <c r="A42" t="s">
        <v>42</v>
      </c>
    </row>
    <row r="43" spans="1:8" x14ac:dyDescent="0.25">
      <c r="A43" t="s">
        <v>43</v>
      </c>
    </row>
    <row r="44" spans="1:8" x14ac:dyDescent="0.25">
      <c r="A44" t="s">
        <v>44</v>
      </c>
    </row>
    <row r="45" spans="1:8" x14ac:dyDescent="0.25">
      <c r="A45" t="s">
        <v>45</v>
      </c>
    </row>
    <row r="46" spans="1:8" x14ac:dyDescent="0.25">
      <c r="A46" t="s">
        <v>46</v>
      </c>
    </row>
    <row r="47" spans="1:8" x14ac:dyDescent="0.25">
      <c r="A47" t="s">
        <v>47</v>
      </c>
    </row>
    <row r="48" spans="1:8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40</v>
      </c>
    </row>
    <row r="55" spans="1:1" x14ac:dyDescent="0.25">
      <c r="A55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N9" sqref="N9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70</v>
      </c>
    </row>
    <row r="3" spans="1:8" x14ac:dyDescent="0.25">
      <c r="A3" t="s">
        <v>2</v>
      </c>
    </row>
    <row r="4" spans="1:8" x14ac:dyDescent="0.25">
      <c r="A4" t="s">
        <v>3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69</v>
      </c>
      <c r="H4" t="s">
        <v>4</v>
      </c>
    </row>
    <row r="5" spans="1:8" x14ac:dyDescent="0.25">
      <c r="A5" t="s">
        <v>5</v>
      </c>
      <c r="B5" t="s">
        <v>6</v>
      </c>
      <c r="C5" t="s">
        <v>6</v>
      </c>
      <c r="D5" t="s">
        <v>6</v>
      </c>
      <c r="E5">
        <v>1</v>
      </c>
      <c r="F5" t="s">
        <v>6</v>
      </c>
      <c r="G5" t="s">
        <v>6</v>
      </c>
      <c r="H5">
        <v>1</v>
      </c>
    </row>
    <row r="6" spans="1:8" x14ac:dyDescent="0.25">
      <c r="A6" t="s">
        <v>7</v>
      </c>
      <c r="B6" t="s">
        <v>6</v>
      </c>
      <c r="C6" t="s">
        <v>6</v>
      </c>
      <c r="D6" t="s">
        <v>6</v>
      </c>
      <c r="E6">
        <v>4</v>
      </c>
      <c r="F6" t="s">
        <v>6</v>
      </c>
      <c r="G6">
        <v>1</v>
      </c>
      <c r="H6">
        <v>5</v>
      </c>
    </row>
    <row r="7" spans="1:8" x14ac:dyDescent="0.25">
      <c r="A7" t="s">
        <v>8</v>
      </c>
      <c r="B7" t="s">
        <v>6</v>
      </c>
      <c r="C7" t="s">
        <v>6</v>
      </c>
      <c r="D7">
        <v>2</v>
      </c>
      <c r="E7" t="s">
        <v>6</v>
      </c>
      <c r="F7" t="s">
        <v>6</v>
      </c>
      <c r="G7">
        <v>2</v>
      </c>
      <c r="H7">
        <v>4</v>
      </c>
    </row>
    <row r="8" spans="1:8" x14ac:dyDescent="0.25">
      <c r="A8" t="s">
        <v>9</v>
      </c>
      <c r="B8" t="s">
        <v>6</v>
      </c>
      <c r="C8" t="s">
        <v>6</v>
      </c>
      <c r="D8" t="s">
        <v>6</v>
      </c>
      <c r="E8">
        <v>1</v>
      </c>
      <c r="F8" t="s">
        <v>6</v>
      </c>
      <c r="G8">
        <v>1</v>
      </c>
      <c r="H8">
        <v>2</v>
      </c>
    </row>
    <row r="9" spans="1:8" x14ac:dyDescent="0.25">
      <c r="A9" t="s">
        <v>10</v>
      </c>
      <c r="B9" t="s">
        <v>6</v>
      </c>
      <c r="C9" t="s">
        <v>6</v>
      </c>
      <c r="D9">
        <v>1</v>
      </c>
      <c r="E9">
        <v>3</v>
      </c>
      <c r="F9" t="s">
        <v>6</v>
      </c>
      <c r="G9">
        <v>1</v>
      </c>
      <c r="H9">
        <v>5</v>
      </c>
    </row>
    <row r="10" spans="1:8" x14ac:dyDescent="0.25">
      <c r="A10" t="s">
        <v>11</v>
      </c>
      <c r="B10" t="s">
        <v>6</v>
      </c>
      <c r="C10">
        <v>1</v>
      </c>
      <c r="D10">
        <v>7</v>
      </c>
      <c r="E10">
        <v>9</v>
      </c>
      <c r="F10">
        <v>3</v>
      </c>
      <c r="G10">
        <v>1</v>
      </c>
      <c r="H10">
        <v>21</v>
      </c>
    </row>
    <row r="11" spans="1:8" x14ac:dyDescent="0.25">
      <c r="A11" t="s">
        <v>12</v>
      </c>
      <c r="B11">
        <v>1</v>
      </c>
      <c r="C11">
        <v>4</v>
      </c>
      <c r="D11">
        <v>11</v>
      </c>
      <c r="E11">
        <v>11</v>
      </c>
      <c r="F11">
        <v>2</v>
      </c>
      <c r="G11">
        <v>4</v>
      </c>
      <c r="H11">
        <v>33</v>
      </c>
    </row>
    <row r="12" spans="1:8" x14ac:dyDescent="0.25">
      <c r="A12" t="s">
        <v>13</v>
      </c>
      <c r="B12" t="s">
        <v>6</v>
      </c>
      <c r="C12" t="s">
        <v>6</v>
      </c>
      <c r="D12" t="s">
        <v>6</v>
      </c>
      <c r="E12">
        <v>1</v>
      </c>
      <c r="F12" t="s">
        <v>6</v>
      </c>
      <c r="G12" t="s">
        <v>6</v>
      </c>
      <c r="H12">
        <v>1</v>
      </c>
    </row>
    <row r="13" spans="1:8" x14ac:dyDescent="0.25">
      <c r="A13" t="s">
        <v>14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  <c r="G13">
        <v>1</v>
      </c>
      <c r="H13">
        <v>1</v>
      </c>
    </row>
    <row r="14" spans="1:8" x14ac:dyDescent="0.25">
      <c r="A14" t="s">
        <v>15</v>
      </c>
      <c r="B14" t="s">
        <v>6</v>
      </c>
      <c r="C14" t="s">
        <v>6</v>
      </c>
      <c r="D14">
        <v>1</v>
      </c>
      <c r="E14">
        <v>1</v>
      </c>
      <c r="F14">
        <v>1</v>
      </c>
      <c r="G14" t="s">
        <v>6</v>
      </c>
      <c r="H14">
        <v>3</v>
      </c>
    </row>
    <row r="15" spans="1:8" x14ac:dyDescent="0.25">
      <c r="A15" t="s">
        <v>16</v>
      </c>
      <c r="B15">
        <v>2</v>
      </c>
      <c r="C15" t="s">
        <v>6</v>
      </c>
      <c r="D15">
        <v>1</v>
      </c>
      <c r="E15">
        <v>1</v>
      </c>
      <c r="F15">
        <v>1</v>
      </c>
      <c r="G15">
        <v>2</v>
      </c>
      <c r="H15">
        <v>7</v>
      </c>
    </row>
    <row r="16" spans="1:8" x14ac:dyDescent="0.25">
      <c r="A16" t="s">
        <v>17</v>
      </c>
      <c r="B16" t="s">
        <v>6</v>
      </c>
      <c r="C16" t="s">
        <v>6</v>
      </c>
      <c r="D16" t="s">
        <v>6</v>
      </c>
      <c r="E16">
        <v>2</v>
      </c>
      <c r="F16" t="s">
        <v>6</v>
      </c>
      <c r="G16" t="s">
        <v>6</v>
      </c>
      <c r="H16">
        <v>2</v>
      </c>
    </row>
    <row r="17" spans="1:8" x14ac:dyDescent="0.25">
      <c r="A17" t="s">
        <v>18</v>
      </c>
      <c r="B17" t="s">
        <v>6</v>
      </c>
      <c r="C17" t="s">
        <v>6</v>
      </c>
      <c r="D17" t="s">
        <v>6</v>
      </c>
      <c r="E17">
        <v>1</v>
      </c>
      <c r="F17" t="s">
        <v>6</v>
      </c>
      <c r="G17" t="s">
        <v>6</v>
      </c>
      <c r="H17">
        <v>1</v>
      </c>
    </row>
    <row r="18" spans="1:8" x14ac:dyDescent="0.25">
      <c r="A18" t="s">
        <v>19</v>
      </c>
      <c r="B18" t="s">
        <v>6</v>
      </c>
      <c r="C18" t="s">
        <v>6</v>
      </c>
      <c r="D18" t="s">
        <v>6</v>
      </c>
      <c r="E18">
        <v>1</v>
      </c>
      <c r="F18">
        <v>1</v>
      </c>
      <c r="G18" t="s">
        <v>6</v>
      </c>
      <c r="H18">
        <v>2</v>
      </c>
    </row>
    <row r="19" spans="1:8" x14ac:dyDescent="0.25">
      <c r="A19" t="s">
        <v>20</v>
      </c>
      <c r="B19">
        <v>1</v>
      </c>
      <c r="C19" t="s">
        <v>6</v>
      </c>
      <c r="D19">
        <v>1</v>
      </c>
      <c r="E19">
        <v>1</v>
      </c>
      <c r="F19" t="s">
        <v>6</v>
      </c>
      <c r="G19" t="s">
        <v>6</v>
      </c>
      <c r="H19">
        <v>3</v>
      </c>
    </row>
    <row r="20" spans="1:8" x14ac:dyDescent="0.25">
      <c r="A20" t="s">
        <v>21</v>
      </c>
      <c r="B20" t="s">
        <v>6</v>
      </c>
      <c r="C20" t="s">
        <v>6</v>
      </c>
      <c r="D20">
        <v>1</v>
      </c>
      <c r="E20">
        <v>3</v>
      </c>
      <c r="F20">
        <v>1</v>
      </c>
      <c r="G20" t="s">
        <v>6</v>
      </c>
      <c r="H20">
        <v>5</v>
      </c>
    </row>
    <row r="21" spans="1:8" x14ac:dyDescent="0.25">
      <c r="A21" t="s">
        <v>22</v>
      </c>
      <c r="B21" t="s">
        <v>6</v>
      </c>
      <c r="C21" t="s">
        <v>6</v>
      </c>
      <c r="D21" t="s">
        <v>6</v>
      </c>
      <c r="E21">
        <v>1</v>
      </c>
      <c r="F21" t="s">
        <v>6</v>
      </c>
      <c r="G21" t="s">
        <v>6</v>
      </c>
      <c r="H21">
        <v>1</v>
      </c>
    </row>
    <row r="22" spans="1:8" x14ac:dyDescent="0.25">
      <c r="A22" t="s">
        <v>23</v>
      </c>
      <c r="B22" t="s">
        <v>6</v>
      </c>
      <c r="C22">
        <v>1</v>
      </c>
      <c r="D22">
        <v>3</v>
      </c>
      <c r="E22">
        <v>5</v>
      </c>
      <c r="F22" t="s">
        <v>6</v>
      </c>
      <c r="G22" t="s">
        <v>6</v>
      </c>
      <c r="H22">
        <v>9</v>
      </c>
    </row>
    <row r="23" spans="1:8" x14ac:dyDescent="0.25">
      <c r="A23" t="s">
        <v>24</v>
      </c>
      <c r="B23" t="s">
        <v>6</v>
      </c>
      <c r="C23" t="s">
        <v>6</v>
      </c>
      <c r="D23" t="s">
        <v>6</v>
      </c>
      <c r="E23">
        <v>1</v>
      </c>
      <c r="F23" t="s">
        <v>6</v>
      </c>
      <c r="G23" t="s">
        <v>6</v>
      </c>
      <c r="H23">
        <v>1</v>
      </c>
    </row>
    <row r="24" spans="1:8" x14ac:dyDescent="0.25">
      <c r="A24" t="s">
        <v>25</v>
      </c>
      <c r="B24" t="s">
        <v>6</v>
      </c>
      <c r="C24" t="s">
        <v>6</v>
      </c>
      <c r="D24" t="s">
        <v>6</v>
      </c>
      <c r="E24">
        <v>1</v>
      </c>
      <c r="F24" t="s">
        <v>6</v>
      </c>
      <c r="G24">
        <v>1</v>
      </c>
      <c r="H24">
        <v>2</v>
      </c>
    </row>
    <row r="25" spans="1:8" x14ac:dyDescent="0.25">
      <c r="A25" t="s">
        <v>26</v>
      </c>
      <c r="B25" t="s">
        <v>6</v>
      </c>
      <c r="C25" t="s">
        <v>6</v>
      </c>
      <c r="D25" t="s">
        <v>6</v>
      </c>
      <c r="E25">
        <v>1</v>
      </c>
      <c r="F25" t="s">
        <v>6</v>
      </c>
      <c r="G25">
        <v>2</v>
      </c>
      <c r="H25">
        <v>3</v>
      </c>
    </row>
    <row r="26" spans="1:8" x14ac:dyDescent="0.25">
      <c r="A26" t="s">
        <v>27</v>
      </c>
      <c r="B26" t="s">
        <v>6</v>
      </c>
      <c r="C26">
        <v>1</v>
      </c>
      <c r="D26">
        <v>2</v>
      </c>
      <c r="E26">
        <v>1</v>
      </c>
      <c r="F26">
        <v>3</v>
      </c>
      <c r="G26">
        <v>1</v>
      </c>
      <c r="H26">
        <v>8</v>
      </c>
    </row>
    <row r="27" spans="1:8" x14ac:dyDescent="0.25">
      <c r="A27" t="s">
        <v>28</v>
      </c>
      <c r="B27" t="s">
        <v>6</v>
      </c>
      <c r="C27" t="s">
        <v>6</v>
      </c>
      <c r="D27" t="s">
        <v>6</v>
      </c>
      <c r="E27">
        <v>1</v>
      </c>
      <c r="F27" t="s">
        <v>6</v>
      </c>
      <c r="G27" t="s">
        <v>6</v>
      </c>
      <c r="H27">
        <v>1</v>
      </c>
    </row>
    <row r="28" spans="1:8" x14ac:dyDescent="0.25">
      <c r="A28" t="s">
        <v>29</v>
      </c>
      <c r="B28" t="s">
        <v>6</v>
      </c>
      <c r="C28" t="s">
        <v>6</v>
      </c>
      <c r="D28" t="s">
        <v>6</v>
      </c>
      <c r="E28">
        <v>3</v>
      </c>
      <c r="F28">
        <v>2</v>
      </c>
      <c r="G28">
        <v>3</v>
      </c>
      <c r="H28">
        <v>8</v>
      </c>
    </row>
    <row r="29" spans="1:8" x14ac:dyDescent="0.25">
      <c r="A29" t="s">
        <v>30</v>
      </c>
      <c r="B29" t="s">
        <v>6</v>
      </c>
      <c r="C29" t="s">
        <v>6</v>
      </c>
      <c r="D29">
        <v>4</v>
      </c>
      <c r="E29">
        <v>5</v>
      </c>
      <c r="F29">
        <v>2</v>
      </c>
      <c r="G29">
        <v>3</v>
      </c>
      <c r="H29">
        <v>14</v>
      </c>
    </row>
    <row r="30" spans="1:8" x14ac:dyDescent="0.25">
      <c r="A30" t="s">
        <v>31</v>
      </c>
      <c r="B30" t="s">
        <v>6</v>
      </c>
      <c r="C30" t="s">
        <v>6</v>
      </c>
      <c r="D30" t="s">
        <v>6</v>
      </c>
      <c r="E30" t="s">
        <v>6</v>
      </c>
      <c r="F30">
        <v>1</v>
      </c>
      <c r="G30">
        <v>1</v>
      </c>
      <c r="H30">
        <v>2</v>
      </c>
    </row>
    <row r="31" spans="1:8" x14ac:dyDescent="0.25">
      <c r="A31" t="s">
        <v>32</v>
      </c>
      <c r="B31" t="s">
        <v>6</v>
      </c>
      <c r="C31" t="s">
        <v>6</v>
      </c>
      <c r="D31">
        <v>2</v>
      </c>
      <c r="E31">
        <v>1</v>
      </c>
      <c r="F31" t="s">
        <v>6</v>
      </c>
      <c r="G31">
        <v>2</v>
      </c>
      <c r="H31">
        <v>5</v>
      </c>
    </row>
    <row r="32" spans="1:8" x14ac:dyDescent="0.25">
      <c r="A32" t="s">
        <v>33</v>
      </c>
      <c r="B32" t="s">
        <v>6</v>
      </c>
      <c r="C32">
        <v>2</v>
      </c>
      <c r="D32" t="s">
        <v>6</v>
      </c>
      <c r="E32">
        <v>3</v>
      </c>
      <c r="F32" t="s">
        <v>6</v>
      </c>
      <c r="G32">
        <v>4</v>
      </c>
      <c r="H32">
        <v>9</v>
      </c>
    </row>
    <row r="33" spans="1:8" x14ac:dyDescent="0.25">
      <c r="A33" t="s">
        <v>34</v>
      </c>
      <c r="B33" t="s">
        <v>6</v>
      </c>
      <c r="C33">
        <v>1</v>
      </c>
      <c r="D33">
        <v>1</v>
      </c>
      <c r="E33">
        <v>2</v>
      </c>
      <c r="F33">
        <v>1</v>
      </c>
      <c r="G33" t="s">
        <v>6</v>
      </c>
      <c r="H33">
        <v>5</v>
      </c>
    </row>
    <row r="34" spans="1:8" x14ac:dyDescent="0.25">
      <c r="A34" t="s">
        <v>35</v>
      </c>
      <c r="B34" t="s">
        <v>6</v>
      </c>
      <c r="C34">
        <v>1</v>
      </c>
      <c r="D34" t="s">
        <v>6</v>
      </c>
      <c r="E34">
        <v>3</v>
      </c>
      <c r="F34" t="s">
        <v>6</v>
      </c>
      <c r="G34">
        <v>1</v>
      </c>
      <c r="H34">
        <v>5</v>
      </c>
    </row>
    <row r="35" spans="1:8" x14ac:dyDescent="0.25">
      <c r="A35" t="s">
        <v>36</v>
      </c>
      <c r="B35">
        <v>1</v>
      </c>
      <c r="C35" t="s">
        <v>6</v>
      </c>
      <c r="D35">
        <v>7</v>
      </c>
      <c r="E35">
        <v>12</v>
      </c>
      <c r="F35">
        <v>2</v>
      </c>
      <c r="G35">
        <v>7</v>
      </c>
      <c r="H35">
        <v>29</v>
      </c>
    </row>
    <row r="36" spans="1:8" x14ac:dyDescent="0.25">
      <c r="A36" t="s">
        <v>37</v>
      </c>
      <c r="B36" t="s">
        <v>6</v>
      </c>
      <c r="C36">
        <v>4</v>
      </c>
      <c r="D36">
        <v>5</v>
      </c>
      <c r="E36">
        <v>11</v>
      </c>
      <c r="F36">
        <v>5</v>
      </c>
      <c r="G36">
        <v>12</v>
      </c>
      <c r="H36">
        <v>37</v>
      </c>
    </row>
    <row r="37" spans="1:8" x14ac:dyDescent="0.25">
      <c r="A37" t="s">
        <v>4</v>
      </c>
      <c r="B37">
        <v>5</v>
      </c>
      <c r="C37">
        <v>15</v>
      </c>
      <c r="D37">
        <v>49</v>
      </c>
      <c r="E37">
        <v>91</v>
      </c>
      <c r="F37">
        <v>25</v>
      </c>
      <c r="G37">
        <v>50</v>
      </c>
      <c r="H37">
        <v>235</v>
      </c>
    </row>
    <row r="38" spans="1:8" x14ac:dyDescent="0.25">
      <c r="A38" t="s">
        <v>38</v>
      </c>
    </row>
    <row r="39" spans="1:8" x14ac:dyDescent="0.25">
      <c r="A39" t="s">
        <v>39</v>
      </c>
    </row>
    <row r="40" spans="1:8" x14ac:dyDescent="0.25">
      <c r="A40" t="s">
        <v>40</v>
      </c>
    </row>
    <row r="41" spans="1:8" x14ac:dyDescent="0.25">
      <c r="A41" t="s">
        <v>41</v>
      </c>
    </row>
    <row r="42" spans="1:8" x14ac:dyDescent="0.25">
      <c r="A42" t="s">
        <v>42</v>
      </c>
    </row>
    <row r="43" spans="1:8" x14ac:dyDescent="0.25">
      <c r="A43" t="s">
        <v>43</v>
      </c>
    </row>
    <row r="44" spans="1:8" x14ac:dyDescent="0.25">
      <c r="A44" t="s">
        <v>44</v>
      </c>
    </row>
    <row r="45" spans="1:8" x14ac:dyDescent="0.25">
      <c r="A45" t="s">
        <v>45</v>
      </c>
    </row>
    <row r="46" spans="1:8" x14ac:dyDescent="0.25">
      <c r="A46" t="s">
        <v>46</v>
      </c>
    </row>
    <row r="47" spans="1:8" x14ac:dyDescent="0.25">
      <c r="A47" t="s">
        <v>47</v>
      </c>
    </row>
    <row r="48" spans="1:8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40</v>
      </c>
    </row>
    <row r="55" spans="1:1" x14ac:dyDescent="0.25">
      <c r="A55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5"/>
  <sheetViews>
    <sheetView workbookViewId="0">
      <selection activeCell="A8" sqref="A8"/>
    </sheetView>
  </sheetViews>
  <sheetFormatPr defaultRowHeight="15" x14ac:dyDescent="0.25"/>
  <cols>
    <col min="1" max="1" width="52.140625" customWidth="1"/>
  </cols>
  <sheetData>
    <row r="1" spans="1:6" x14ac:dyDescent="0.25">
      <c r="A1" t="s">
        <v>0</v>
      </c>
    </row>
    <row r="2" spans="1:6" x14ac:dyDescent="0.25">
      <c r="A2" t="s">
        <v>76</v>
      </c>
    </row>
    <row r="3" spans="1:6" x14ac:dyDescent="0.25">
      <c r="A3" t="s">
        <v>2</v>
      </c>
    </row>
    <row r="4" spans="1:6" x14ac:dyDescent="0.25">
      <c r="A4" t="s">
        <v>3</v>
      </c>
      <c r="B4" t="s">
        <v>77</v>
      </c>
      <c r="C4" t="s">
        <v>78</v>
      </c>
      <c r="D4" t="s">
        <v>79</v>
      </c>
      <c r="E4" t="s">
        <v>69</v>
      </c>
      <c r="F4" t="s">
        <v>4</v>
      </c>
    </row>
    <row r="5" spans="1:6" x14ac:dyDescent="0.25">
      <c r="A5" t="s">
        <v>5</v>
      </c>
      <c r="B5">
        <v>1</v>
      </c>
      <c r="C5" t="s">
        <v>6</v>
      </c>
      <c r="D5" t="s">
        <v>6</v>
      </c>
      <c r="E5" t="s">
        <v>6</v>
      </c>
      <c r="F5">
        <v>1</v>
      </c>
    </row>
    <row r="6" spans="1:6" x14ac:dyDescent="0.25">
      <c r="A6" t="s">
        <v>7</v>
      </c>
      <c r="B6">
        <v>1</v>
      </c>
      <c r="C6" t="s">
        <v>6</v>
      </c>
      <c r="D6">
        <v>4</v>
      </c>
      <c r="E6" t="s">
        <v>6</v>
      </c>
      <c r="F6">
        <v>5</v>
      </c>
    </row>
    <row r="7" spans="1:6" x14ac:dyDescent="0.25">
      <c r="A7" t="s">
        <v>8</v>
      </c>
      <c r="B7" t="s">
        <v>6</v>
      </c>
      <c r="C7">
        <v>1</v>
      </c>
      <c r="D7">
        <v>3</v>
      </c>
      <c r="E7" t="s">
        <v>6</v>
      </c>
      <c r="F7">
        <v>4</v>
      </c>
    </row>
    <row r="8" spans="1:6" x14ac:dyDescent="0.25">
      <c r="A8" t="s">
        <v>9</v>
      </c>
      <c r="B8">
        <v>1</v>
      </c>
      <c r="C8" t="s">
        <v>6</v>
      </c>
      <c r="D8">
        <v>1</v>
      </c>
      <c r="E8" t="s">
        <v>6</v>
      </c>
      <c r="F8">
        <v>2</v>
      </c>
    </row>
    <row r="9" spans="1:6" x14ac:dyDescent="0.25">
      <c r="A9" t="s">
        <v>10</v>
      </c>
      <c r="B9">
        <v>1</v>
      </c>
      <c r="C9">
        <v>1</v>
      </c>
      <c r="D9">
        <v>3</v>
      </c>
      <c r="E9" t="s">
        <v>6</v>
      </c>
      <c r="F9">
        <v>5</v>
      </c>
    </row>
    <row r="10" spans="1:6" x14ac:dyDescent="0.25">
      <c r="A10" t="s">
        <v>11</v>
      </c>
      <c r="B10">
        <v>2</v>
      </c>
      <c r="C10">
        <v>6</v>
      </c>
      <c r="D10">
        <v>13</v>
      </c>
      <c r="E10" t="s">
        <v>6</v>
      </c>
      <c r="F10">
        <v>21</v>
      </c>
    </row>
    <row r="11" spans="1:6" x14ac:dyDescent="0.25">
      <c r="A11" t="s">
        <v>12</v>
      </c>
      <c r="B11">
        <v>5</v>
      </c>
      <c r="C11">
        <v>1</v>
      </c>
      <c r="D11">
        <v>27</v>
      </c>
      <c r="E11" t="s">
        <v>6</v>
      </c>
      <c r="F11">
        <v>33</v>
      </c>
    </row>
    <row r="12" spans="1:6" x14ac:dyDescent="0.25">
      <c r="A12" t="s">
        <v>13</v>
      </c>
      <c r="B12" t="s">
        <v>6</v>
      </c>
      <c r="C12" t="s">
        <v>6</v>
      </c>
      <c r="D12">
        <v>1</v>
      </c>
      <c r="E12" t="s">
        <v>6</v>
      </c>
      <c r="F12">
        <v>1</v>
      </c>
    </row>
    <row r="13" spans="1:6" x14ac:dyDescent="0.25">
      <c r="A13" t="s">
        <v>14</v>
      </c>
      <c r="B13" t="s">
        <v>6</v>
      </c>
      <c r="C13" t="s">
        <v>6</v>
      </c>
      <c r="D13">
        <v>1</v>
      </c>
      <c r="E13" t="s">
        <v>6</v>
      </c>
      <c r="F13">
        <v>1</v>
      </c>
    </row>
    <row r="14" spans="1:6" x14ac:dyDescent="0.25">
      <c r="A14" t="s">
        <v>15</v>
      </c>
      <c r="B14" t="s">
        <v>6</v>
      </c>
      <c r="C14" t="s">
        <v>6</v>
      </c>
      <c r="D14">
        <v>3</v>
      </c>
      <c r="E14" t="s">
        <v>6</v>
      </c>
      <c r="F14">
        <v>3</v>
      </c>
    </row>
    <row r="15" spans="1:6" x14ac:dyDescent="0.25">
      <c r="A15" t="s">
        <v>16</v>
      </c>
      <c r="B15" t="s">
        <v>6</v>
      </c>
      <c r="C15">
        <v>1</v>
      </c>
      <c r="D15">
        <v>6</v>
      </c>
      <c r="E15" t="s">
        <v>6</v>
      </c>
      <c r="F15">
        <v>7</v>
      </c>
    </row>
    <row r="16" spans="1:6" x14ac:dyDescent="0.25">
      <c r="A16" t="s">
        <v>17</v>
      </c>
      <c r="B16" t="s">
        <v>6</v>
      </c>
      <c r="C16" t="s">
        <v>6</v>
      </c>
      <c r="D16">
        <v>2</v>
      </c>
      <c r="E16" t="s">
        <v>6</v>
      </c>
      <c r="F16">
        <v>2</v>
      </c>
    </row>
    <row r="17" spans="1:6" x14ac:dyDescent="0.25">
      <c r="A17" t="s">
        <v>18</v>
      </c>
      <c r="B17" t="s">
        <v>6</v>
      </c>
      <c r="C17" t="s">
        <v>6</v>
      </c>
      <c r="D17">
        <v>1</v>
      </c>
      <c r="E17" t="s">
        <v>6</v>
      </c>
      <c r="F17">
        <v>1</v>
      </c>
    </row>
    <row r="18" spans="1:6" x14ac:dyDescent="0.25">
      <c r="A18" t="s">
        <v>19</v>
      </c>
      <c r="B18">
        <v>1</v>
      </c>
      <c r="C18" t="s">
        <v>6</v>
      </c>
      <c r="D18">
        <v>1</v>
      </c>
      <c r="E18" t="s">
        <v>6</v>
      </c>
      <c r="F18">
        <v>2</v>
      </c>
    </row>
    <row r="19" spans="1:6" x14ac:dyDescent="0.25">
      <c r="A19" t="s">
        <v>20</v>
      </c>
      <c r="B19" t="s">
        <v>6</v>
      </c>
      <c r="C19" t="s">
        <v>6</v>
      </c>
      <c r="D19">
        <v>3</v>
      </c>
      <c r="E19" t="s">
        <v>6</v>
      </c>
      <c r="F19">
        <v>3</v>
      </c>
    </row>
    <row r="20" spans="1:6" x14ac:dyDescent="0.25">
      <c r="A20" t="s">
        <v>21</v>
      </c>
      <c r="B20">
        <v>1</v>
      </c>
      <c r="C20" t="s">
        <v>6</v>
      </c>
      <c r="D20">
        <v>4</v>
      </c>
      <c r="E20" t="s">
        <v>6</v>
      </c>
      <c r="F20">
        <v>5</v>
      </c>
    </row>
    <row r="21" spans="1:6" x14ac:dyDescent="0.25">
      <c r="A21" t="s">
        <v>22</v>
      </c>
      <c r="B21">
        <v>1</v>
      </c>
      <c r="C21" t="s">
        <v>6</v>
      </c>
      <c r="D21" t="s">
        <v>6</v>
      </c>
      <c r="E21" t="s">
        <v>6</v>
      </c>
      <c r="F21">
        <v>1</v>
      </c>
    </row>
    <row r="22" spans="1:6" x14ac:dyDescent="0.25">
      <c r="A22" t="s">
        <v>23</v>
      </c>
      <c r="B22">
        <v>3</v>
      </c>
      <c r="C22" t="s">
        <v>6</v>
      </c>
      <c r="D22">
        <v>6</v>
      </c>
      <c r="E22" t="s">
        <v>6</v>
      </c>
      <c r="F22">
        <v>9</v>
      </c>
    </row>
    <row r="23" spans="1:6" x14ac:dyDescent="0.25">
      <c r="A23" t="s">
        <v>24</v>
      </c>
      <c r="B23" t="s">
        <v>6</v>
      </c>
      <c r="C23">
        <v>1</v>
      </c>
      <c r="D23" t="s">
        <v>6</v>
      </c>
      <c r="E23" t="s">
        <v>6</v>
      </c>
      <c r="F23">
        <v>1</v>
      </c>
    </row>
    <row r="24" spans="1:6" x14ac:dyDescent="0.25">
      <c r="A24" t="s">
        <v>25</v>
      </c>
      <c r="B24" t="s">
        <v>6</v>
      </c>
      <c r="C24" t="s">
        <v>6</v>
      </c>
      <c r="D24">
        <v>2</v>
      </c>
      <c r="E24" t="s">
        <v>6</v>
      </c>
      <c r="F24">
        <v>2</v>
      </c>
    </row>
    <row r="25" spans="1:6" x14ac:dyDescent="0.25">
      <c r="A25" t="s">
        <v>26</v>
      </c>
      <c r="B25">
        <v>1</v>
      </c>
      <c r="C25">
        <v>1</v>
      </c>
      <c r="D25">
        <v>1</v>
      </c>
      <c r="E25" t="s">
        <v>6</v>
      </c>
      <c r="F25">
        <v>3</v>
      </c>
    </row>
    <row r="26" spans="1:6" x14ac:dyDescent="0.25">
      <c r="A26" t="s">
        <v>27</v>
      </c>
      <c r="B26">
        <v>2</v>
      </c>
      <c r="C26" t="s">
        <v>6</v>
      </c>
      <c r="D26">
        <v>6</v>
      </c>
      <c r="E26" t="s">
        <v>6</v>
      </c>
      <c r="F26">
        <v>8</v>
      </c>
    </row>
    <row r="27" spans="1:6" x14ac:dyDescent="0.25">
      <c r="A27" t="s">
        <v>28</v>
      </c>
      <c r="B27" t="s">
        <v>6</v>
      </c>
      <c r="C27" t="s">
        <v>6</v>
      </c>
      <c r="D27">
        <v>1</v>
      </c>
      <c r="E27" t="s">
        <v>6</v>
      </c>
      <c r="F27">
        <v>1</v>
      </c>
    </row>
    <row r="28" spans="1:6" x14ac:dyDescent="0.25">
      <c r="A28" t="s">
        <v>29</v>
      </c>
      <c r="B28">
        <v>1</v>
      </c>
      <c r="C28" t="s">
        <v>6</v>
      </c>
      <c r="D28">
        <v>7</v>
      </c>
      <c r="E28" t="s">
        <v>6</v>
      </c>
      <c r="F28">
        <v>8</v>
      </c>
    </row>
    <row r="29" spans="1:6" x14ac:dyDescent="0.25">
      <c r="A29" t="s">
        <v>30</v>
      </c>
      <c r="B29" t="s">
        <v>6</v>
      </c>
      <c r="C29" t="s">
        <v>6</v>
      </c>
      <c r="D29">
        <v>14</v>
      </c>
      <c r="E29" t="s">
        <v>6</v>
      </c>
      <c r="F29">
        <v>14</v>
      </c>
    </row>
    <row r="30" spans="1:6" x14ac:dyDescent="0.25">
      <c r="A30" t="s">
        <v>31</v>
      </c>
      <c r="B30">
        <v>1</v>
      </c>
      <c r="C30" t="s">
        <v>6</v>
      </c>
      <c r="D30">
        <v>1</v>
      </c>
      <c r="E30" t="s">
        <v>6</v>
      </c>
      <c r="F30">
        <v>2</v>
      </c>
    </row>
    <row r="31" spans="1:6" x14ac:dyDescent="0.25">
      <c r="A31" t="s">
        <v>32</v>
      </c>
      <c r="B31" t="s">
        <v>6</v>
      </c>
      <c r="C31" t="s">
        <v>6</v>
      </c>
      <c r="D31">
        <v>5</v>
      </c>
      <c r="E31" t="s">
        <v>6</v>
      </c>
      <c r="F31">
        <v>5</v>
      </c>
    </row>
    <row r="32" spans="1:6" x14ac:dyDescent="0.25">
      <c r="A32" t="s">
        <v>33</v>
      </c>
      <c r="B32" t="s">
        <v>6</v>
      </c>
      <c r="C32" t="s">
        <v>6</v>
      </c>
      <c r="D32">
        <v>9</v>
      </c>
      <c r="E32" t="s">
        <v>6</v>
      </c>
      <c r="F32">
        <v>9</v>
      </c>
    </row>
    <row r="33" spans="1:6" x14ac:dyDescent="0.25">
      <c r="A33" t="s">
        <v>34</v>
      </c>
      <c r="B33" t="s">
        <v>6</v>
      </c>
      <c r="C33" t="s">
        <v>6</v>
      </c>
      <c r="D33">
        <v>5</v>
      </c>
      <c r="E33" t="s">
        <v>6</v>
      </c>
      <c r="F33">
        <v>5</v>
      </c>
    </row>
    <row r="34" spans="1:6" x14ac:dyDescent="0.25">
      <c r="A34" t="s">
        <v>35</v>
      </c>
      <c r="B34">
        <v>2</v>
      </c>
      <c r="C34" t="s">
        <v>6</v>
      </c>
      <c r="D34">
        <v>3</v>
      </c>
      <c r="E34" t="s">
        <v>6</v>
      </c>
      <c r="F34">
        <v>5</v>
      </c>
    </row>
    <row r="35" spans="1:6" x14ac:dyDescent="0.25">
      <c r="A35" t="s">
        <v>36</v>
      </c>
      <c r="B35">
        <v>3</v>
      </c>
      <c r="C35">
        <v>4</v>
      </c>
      <c r="D35">
        <v>22</v>
      </c>
      <c r="E35" t="s">
        <v>6</v>
      </c>
      <c r="F35">
        <v>29</v>
      </c>
    </row>
    <row r="36" spans="1:6" x14ac:dyDescent="0.25">
      <c r="A36" t="s">
        <v>37</v>
      </c>
      <c r="B36">
        <v>5</v>
      </c>
      <c r="C36">
        <v>6</v>
      </c>
      <c r="D36">
        <v>22</v>
      </c>
      <c r="E36">
        <v>4</v>
      </c>
      <c r="F36">
        <v>37</v>
      </c>
    </row>
    <row r="37" spans="1:6" x14ac:dyDescent="0.25">
      <c r="A37" t="s">
        <v>4</v>
      </c>
      <c r="B37">
        <v>32</v>
      </c>
      <c r="C37">
        <v>22</v>
      </c>
      <c r="D37">
        <v>177</v>
      </c>
      <c r="E37">
        <v>4</v>
      </c>
      <c r="F37">
        <v>235</v>
      </c>
    </row>
    <row r="38" spans="1:6" x14ac:dyDescent="0.25">
      <c r="A38" t="s">
        <v>38</v>
      </c>
    </row>
    <row r="39" spans="1:6" x14ac:dyDescent="0.25">
      <c r="A39" t="s">
        <v>39</v>
      </c>
    </row>
    <row r="40" spans="1:6" x14ac:dyDescent="0.25">
      <c r="A40" t="s">
        <v>40</v>
      </c>
    </row>
    <row r="41" spans="1:6" x14ac:dyDescent="0.25">
      <c r="A41" t="s">
        <v>41</v>
      </c>
    </row>
    <row r="42" spans="1:6" x14ac:dyDescent="0.25">
      <c r="A42" t="s">
        <v>42</v>
      </c>
    </row>
    <row r="43" spans="1:6" x14ac:dyDescent="0.25">
      <c r="A43" t="s">
        <v>43</v>
      </c>
    </row>
    <row r="44" spans="1:6" x14ac:dyDescent="0.25">
      <c r="A44" t="s">
        <v>44</v>
      </c>
    </row>
    <row r="45" spans="1:6" x14ac:dyDescent="0.25">
      <c r="A45" t="s">
        <v>45</v>
      </c>
    </row>
    <row r="46" spans="1:6" x14ac:dyDescent="0.25">
      <c r="A46" t="s">
        <v>46</v>
      </c>
    </row>
    <row r="47" spans="1:6" x14ac:dyDescent="0.25">
      <c r="A47" t="s">
        <v>47</v>
      </c>
    </row>
    <row r="48" spans="1:6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40</v>
      </c>
    </row>
    <row r="55" spans="1:1" x14ac:dyDescent="0.25">
      <c r="A55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E55"/>
  <sheetViews>
    <sheetView topLeftCell="A33" workbookViewId="0">
      <selection activeCell="B38" sqref="B38"/>
    </sheetView>
  </sheetViews>
  <sheetFormatPr defaultRowHeight="15" x14ac:dyDescent="0.25"/>
  <cols>
    <col min="1" max="1" width="62.28515625" customWidth="1"/>
    <col min="2" max="2" width="38.5703125" customWidth="1"/>
    <col min="3" max="3" width="42.28515625" customWidth="1"/>
  </cols>
  <sheetData>
    <row r="1" spans="1:5" x14ac:dyDescent="0.25">
      <c r="A1" t="s">
        <v>0</v>
      </c>
    </row>
    <row r="2" spans="1:5" x14ac:dyDescent="0.25">
      <c r="A2" t="s">
        <v>80</v>
      </c>
    </row>
    <row r="3" spans="1:5" x14ac:dyDescent="0.25">
      <c r="A3" t="s">
        <v>2</v>
      </c>
    </row>
    <row r="4" spans="1:5" x14ac:dyDescent="0.25">
      <c r="A4" s="3" t="s">
        <v>3</v>
      </c>
      <c r="B4" t="s">
        <v>81</v>
      </c>
      <c r="C4" t="s">
        <v>82</v>
      </c>
      <c r="D4" t="s">
        <v>83</v>
      </c>
      <c r="E4" t="s">
        <v>4</v>
      </c>
    </row>
    <row r="5" spans="1:5" x14ac:dyDescent="0.25">
      <c r="A5" t="s">
        <v>5</v>
      </c>
      <c r="B5">
        <v>1</v>
      </c>
      <c r="C5" t="s">
        <v>6</v>
      </c>
      <c r="D5" t="s">
        <v>6</v>
      </c>
      <c r="E5">
        <v>1</v>
      </c>
    </row>
    <row r="6" spans="1:5" x14ac:dyDescent="0.25">
      <c r="A6" t="s">
        <v>7</v>
      </c>
      <c r="B6">
        <v>5</v>
      </c>
      <c r="C6" t="s">
        <v>6</v>
      </c>
      <c r="D6" t="s">
        <v>6</v>
      </c>
      <c r="E6">
        <v>5</v>
      </c>
    </row>
    <row r="7" spans="1:5" x14ac:dyDescent="0.25">
      <c r="A7" t="s">
        <v>8</v>
      </c>
      <c r="B7">
        <v>4</v>
      </c>
      <c r="C7" t="s">
        <v>6</v>
      </c>
      <c r="D7" t="s">
        <v>6</v>
      </c>
      <c r="E7">
        <v>4</v>
      </c>
    </row>
    <row r="8" spans="1:5" x14ac:dyDescent="0.25">
      <c r="A8" t="s">
        <v>9</v>
      </c>
      <c r="B8" t="s">
        <v>6</v>
      </c>
      <c r="C8">
        <v>2</v>
      </c>
      <c r="D8" t="s">
        <v>6</v>
      </c>
      <c r="E8">
        <v>2</v>
      </c>
    </row>
    <row r="9" spans="1:5" x14ac:dyDescent="0.25">
      <c r="A9" t="s">
        <v>10</v>
      </c>
      <c r="B9">
        <v>5</v>
      </c>
      <c r="C9" t="s">
        <v>6</v>
      </c>
      <c r="D9" t="s">
        <v>6</v>
      </c>
      <c r="E9">
        <v>5</v>
      </c>
    </row>
    <row r="10" spans="1:5" x14ac:dyDescent="0.25">
      <c r="A10" t="s">
        <v>11</v>
      </c>
      <c r="B10">
        <v>21</v>
      </c>
      <c r="C10" t="s">
        <v>6</v>
      </c>
      <c r="D10" t="s">
        <v>6</v>
      </c>
      <c r="E10">
        <v>21</v>
      </c>
    </row>
    <row r="11" spans="1:5" x14ac:dyDescent="0.25">
      <c r="A11" t="s">
        <v>12</v>
      </c>
      <c r="B11">
        <v>33</v>
      </c>
      <c r="C11" t="s">
        <v>6</v>
      </c>
      <c r="D11" t="s">
        <v>6</v>
      </c>
      <c r="E11">
        <v>33</v>
      </c>
    </row>
    <row r="12" spans="1:5" x14ac:dyDescent="0.25">
      <c r="A12" t="s">
        <v>13</v>
      </c>
      <c r="B12">
        <v>1</v>
      </c>
      <c r="C12" t="s">
        <v>6</v>
      </c>
      <c r="D12" t="s">
        <v>6</v>
      </c>
      <c r="E12">
        <v>1</v>
      </c>
    </row>
    <row r="13" spans="1:5" x14ac:dyDescent="0.25">
      <c r="A13" t="s">
        <v>14</v>
      </c>
      <c r="B13">
        <v>1</v>
      </c>
      <c r="C13" t="s">
        <v>6</v>
      </c>
      <c r="D13" t="s">
        <v>6</v>
      </c>
      <c r="E13">
        <v>1</v>
      </c>
    </row>
    <row r="14" spans="1:5" x14ac:dyDescent="0.25">
      <c r="A14" t="s">
        <v>15</v>
      </c>
      <c r="B14">
        <v>3</v>
      </c>
      <c r="C14" t="s">
        <v>6</v>
      </c>
      <c r="D14" t="s">
        <v>6</v>
      </c>
      <c r="E14">
        <v>3</v>
      </c>
    </row>
    <row r="15" spans="1:5" x14ac:dyDescent="0.25">
      <c r="A15" t="s">
        <v>16</v>
      </c>
      <c r="B15">
        <v>4</v>
      </c>
      <c r="C15">
        <v>3</v>
      </c>
      <c r="D15" t="s">
        <v>6</v>
      </c>
      <c r="E15">
        <v>7</v>
      </c>
    </row>
    <row r="16" spans="1:5" x14ac:dyDescent="0.25">
      <c r="A16" t="s">
        <v>17</v>
      </c>
      <c r="B16">
        <v>2</v>
      </c>
      <c r="C16" t="s">
        <v>6</v>
      </c>
      <c r="D16" t="s">
        <v>6</v>
      </c>
      <c r="E16">
        <v>2</v>
      </c>
    </row>
    <row r="17" spans="1:5" x14ac:dyDescent="0.25">
      <c r="A17" t="s">
        <v>18</v>
      </c>
      <c r="B17">
        <v>1</v>
      </c>
      <c r="C17" t="s">
        <v>6</v>
      </c>
      <c r="D17" t="s">
        <v>6</v>
      </c>
      <c r="E17">
        <v>1</v>
      </c>
    </row>
    <row r="18" spans="1:5" x14ac:dyDescent="0.25">
      <c r="A18" t="s">
        <v>19</v>
      </c>
      <c r="B18">
        <v>2</v>
      </c>
      <c r="C18" t="s">
        <v>6</v>
      </c>
      <c r="D18" t="s">
        <v>6</v>
      </c>
      <c r="E18">
        <v>2</v>
      </c>
    </row>
    <row r="19" spans="1:5" x14ac:dyDescent="0.25">
      <c r="A19" t="s">
        <v>20</v>
      </c>
      <c r="B19">
        <v>3</v>
      </c>
      <c r="C19" t="s">
        <v>6</v>
      </c>
      <c r="D19" t="s">
        <v>6</v>
      </c>
      <c r="E19">
        <v>3</v>
      </c>
    </row>
    <row r="20" spans="1:5" x14ac:dyDescent="0.25">
      <c r="A20" t="s">
        <v>21</v>
      </c>
      <c r="B20">
        <v>5</v>
      </c>
      <c r="C20" t="s">
        <v>6</v>
      </c>
      <c r="D20" t="s">
        <v>6</v>
      </c>
      <c r="E20">
        <v>5</v>
      </c>
    </row>
    <row r="21" spans="1:5" x14ac:dyDescent="0.25">
      <c r="A21" t="s">
        <v>22</v>
      </c>
      <c r="B21">
        <v>1</v>
      </c>
      <c r="C21" t="s">
        <v>6</v>
      </c>
      <c r="D21" t="s">
        <v>6</v>
      </c>
      <c r="E21">
        <v>1</v>
      </c>
    </row>
    <row r="22" spans="1:5" x14ac:dyDescent="0.25">
      <c r="A22" t="s">
        <v>23</v>
      </c>
      <c r="B22">
        <v>9</v>
      </c>
      <c r="C22" t="s">
        <v>6</v>
      </c>
      <c r="D22" t="s">
        <v>6</v>
      </c>
      <c r="E22">
        <v>9</v>
      </c>
    </row>
    <row r="23" spans="1:5" x14ac:dyDescent="0.25">
      <c r="A23" t="s">
        <v>24</v>
      </c>
      <c r="B23">
        <v>1</v>
      </c>
      <c r="C23" t="s">
        <v>6</v>
      </c>
      <c r="D23" t="s">
        <v>6</v>
      </c>
      <c r="E23">
        <v>1</v>
      </c>
    </row>
    <row r="24" spans="1:5" x14ac:dyDescent="0.25">
      <c r="A24" t="s">
        <v>25</v>
      </c>
      <c r="B24">
        <v>2</v>
      </c>
      <c r="C24" t="s">
        <v>6</v>
      </c>
      <c r="D24" t="s">
        <v>6</v>
      </c>
      <c r="E24">
        <v>2</v>
      </c>
    </row>
    <row r="25" spans="1:5" x14ac:dyDescent="0.25">
      <c r="A25" t="s">
        <v>26</v>
      </c>
      <c r="B25">
        <v>3</v>
      </c>
      <c r="C25" t="s">
        <v>6</v>
      </c>
      <c r="D25" t="s">
        <v>6</v>
      </c>
      <c r="E25">
        <v>3</v>
      </c>
    </row>
    <row r="26" spans="1:5" x14ac:dyDescent="0.25">
      <c r="A26" t="s">
        <v>27</v>
      </c>
      <c r="B26">
        <v>8</v>
      </c>
      <c r="C26" t="s">
        <v>6</v>
      </c>
      <c r="D26" t="s">
        <v>6</v>
      </c>
      <c r="E26">
        <v>8</v>
      </c>
    </row>
    <row r="27" spans="1:5" x14ac:dyDescent="0.25">
      <c r="A27" t="s">
        <v>28</v>
      </c>
      <c r="B27">
        <v>1</v>
      </c>
      <c r="C27" t="s">
        <v>6</v>
      </c>
      <c r="D27" t="s">
        <v>6</v>
      </c>
      <c r="E27">
        <v>1</v>
      </c>
    </row>
    <row r="28" spans="1:5" x14ac:dyDescent="0.25">
      <c r="A28" t="s">
        <v>29</v>
      </c>
      <c r="B28">
        <v>8</v>
      </c>
      <c r="C28" t="s">
        <v>6</v>
      </c>
      <c r="D28" t="s">
        <v>6</v>
      </c>
      <c r="E28">
        <v>8</v>
      </c>
    </row>
    <row r="29" spans="1:5" x14ac:dyDescent="0.25">
      <c r="A29" t="s">
        <v>30</v>
      </c>
      <c r="B29">
        <v>14</v>
      </c>
      <c r="C29" t="s">
        <v>6</v>
      </c>
      <c r="D29" t="s">
        <v>6</v>
      </c>
      <c r="E29">
        <v>14</v>
      </c>
    </row>
    <row r="30" spans="1:5" x14ac:dyDescent="0.25">
      <c r="A30" t="s">
        <v>31</v>
      </c>
      <c r="B30">
        <v>2</v>
      </c>
      <c r="C30" t="s">
        <v>6</v>
      </c>
      <c r="D30" t="s">
        <v>6</v>
      </c>
      <c r="E30">
        <v>2</v>
      </c>
    </row>
    <row r="31" spans="1:5" x14ac:dyDescent="0.25">
      <c r="A31" t="s">
        <v>32</v>
      </c>
      <c r="B31">
        <v>5</v>
      </c>
      <c r="C31" t="s">
        <v>6</v>
      </c>
      <c r="D31" t="s">
        <v>6</v>
      </c>
      <c r="E31">
        <v>5</v>
      </c>
    </row>
    <row r="32" spans="1:5" x14ac:dyDescent="0.25">
      <c r="A32" t="s">
        <v>33</v>
      </c>
      <c r="B32">
        <v>9</v>
      </c>
      <c r="C32" t="s">
        <v>6</v>
      </c>
      <c r="D32" t="s">
        <v>6</v>
      </c>
      <c r="E32">
        <v>9</v>
      </c>
    </row>
    <row r="33" spans="1:5" x14ac:dyDescent="0.25">
      <c r="A33" t="s">
        <v>34</v>
      </c>
      <c r="B33">
        <v>5</v>
      </c>
      <c r="C33" t="s">
        <v>6</v>
      </c>
      <c r="D33" t="s">
        <v>6</v>
      </c>
      <c r="E33">
        <v>5</v>
      </c>
    </row>
    <row r="34" spans="1:5" x14ac:dyDescent="0.25">
      <c r="A34" t="s">
        <v>35</v>
      </c>
      <c r="B34" t="s">
        <v>6</v>
      </c>
      <c r="C34" t="s">
        <v>6</v>
      </c>
      <c r="D34">
        <v>5</v>
      </c>
      <c r="E34">
        <v>5</v>
      </c>
    </row>
    <row r="35" spans="1:5" x14ac:dyDescent="0.25">
      <c r="A35" t="s">
        <v>36</v>
      </c>
      <c r="B35" t="s">
        <v>6</v>
      </c>
      <c r="C35">
        <v>29</v>
      </c>
      <c r="D35" t="s">
        <v>6</v>
      </c>
      <c r="E35">
        <v>29</v>
      </c>
    </row>
    <row r="36" spans="1:5" x14ac:dyDescent="0.25">
      <c r="A36" t="s">
        <v>37</v>
      </c>
      <c r="B36" t="s">
        <v>6</v>
      </c>
      <c r="C36">
        <v>37</v>
      </c>
      <c r="D36" t="s">
        <v>6</v>
      </c>
      <c r="E36">
        <v>37</v>
      </c>
    </row>
    <row r="37" spans="1:5" x14ac:dyDescent="0.25">
      <c r="A37" t="s">
        <v>4</v>
      </c>
      <c r="B37">
        <v>159</v>
      </c>
      <c r="C37">
        <v>71</v>
      </c>
      <c r="D37">
        <v>5</v>
      </c>
      <c r="E37">
        <v>235</v>
      </c>
    </row>
    <row r="38" spans="1:5" x14ac:dyDescent="0.25">
      <c r="A38" t="s">
        <v>38</v>
      </c>
      <c r="B38" s="1">
        <f>B37/E37*100</f>
        <v>67.659574468085111</v>
      </c>
    </row>
    <row r="39" spans="1:5" x14ac:dyDescent="0.25">
      <c r="A39" t="s">
        <v>39</v>
      </c>
    </row>
    <row r="40" spans="1:5" x14ac:dyDescent="0.25">
      <c r="A40" t="s">
        <v>40</v>
      </c>
    </row>
    <row r="41" spans="1:5" x14ac:dyDescent="0.25">
      <c r="A41" t="s">
        <v>41</v>
      </c>
    </row>
    <row r="42" spans="1:5" x14ac:dyDescent="0.25">
      <c r="A42" t="s">
        <v>42</v>
      </c>
    </row>
    <row r="43" spans="1:5" x14ac:dyDescent="0.25">
      <c r="A43" t="s">
        <v>43</v>
      </c>
    </row>
    <row r="44" spans="1:5" x14ac:dyDescent="0.25">
      <c r="A44" t="s">
        <v>44</v>
      </c>
    </row>
    <row r="45" spans="1:5" x14ac:dyDescent="0.25">
      <c r="A45" t="s">
        <v>45</v>
      </c>
    </row>
    <row r="46" spans="1:5" x14ac:dyDescent="0.25">
      <c r="A46" t="s">
        <v>46</v>
      </c>
    </row>
    <row r="47" spans="1:5" x14ac:dyDescent="0.25">
      <c r="A47" t="s">
        <v>47</v>
      </c>
    </row>
    <row r="48" spans="1:5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40</v>
      </c>
    </row>
    <row r="55" spans="1:1" x14ac:dyDescent="0.25">
      <c r="A55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5"/>
  <sheetViews>
    <sheetView workbookViewId="0">
      <selection activeCell="B8" sqref="B8"/>
    </sheetView>
  </sheetViews>
  <sheetFormatPr defaultRowHeight="15" x14ac:dyDescent="0.25"/>
  <cols>
    <col min="1" max="1" width="44" customWidth="1"/>
    <col min="2" max="2" width="37.42578125" customWidth="1"/>
  </cols>
  <sheetData>
    <row r="1" spans="1:5" x14ac:dyDescent="0.25">
      <c r="A1" t="s">
        <v>0</v>
      </c>
    </row>
    <row r="2" spans="1:5" x14ac:dyDescent="0.25">
      <c r="A2" t="s">
        <v>84</v>
      </c>
    </row>
    <row r="3" spans="1:5" x14ac:dyDescent="0.25">
      <c r="A3" t="s">
        <v>2</v>
      </c>
    </row>
    <row r="4" spans="1:5" x14ac:dyDescent="0.25">
      <c r="A4" t="s">
        <v>3</v>
      </c>
      <c r="B4" t="s">
        <v>85</v>
      </c>
      <c r="C4" t="s">
        <v>86</v>
      </c>
      <c r="D4" t="s">
        <v>87</v>
      </c>
      <c r="E4" t="s">
        <v>4</v>
      </c>
    </row>
    <row r="5" spans="1:5" x14ac:dyDescent="0.25">
      <c r="A5" t="s">
        <v>5</v>
      </c>
      <c r="B5">
        <v>1</v>
      </c>
      <c r="C5" t="s">
        <v>6</v>
      </c>
      <c r="D5" t="s">
        <v>6</v>
      </c>
      <c r="E5">
        <v>1</v>
      </c>
    </row>
    <row r="6" spans="1:5" x14ac:dyDescent="0.25">
      <c r="A6" t="s">
        <v>7</v>
      </c>
      <c r="B6">
        <v>5</v>
      </c>
      <c r="C6" t="s">
        <v>6</v>
      </c>
      <c r="D6" t="s">
        <v>6</v>
      </c>
      <c r="E6">
        <v>5</v>
      </c>
    </row>
    <row r="7" spans="1:5" x14ac:dyDescent="0.25">
      <c r="A7" t="s">
        <v>8</v>
      </c>
      <c r="B7">
        <v>4</v>
      </c>
      <c r="C7" t="s">
        <v>6</v>
      </c>
      <c r="D7" t="s">
        <v>6</v>
      </c>
      <c r="E7">
        <v>4</v>
      </c>
    </row>
    <row r="8" spans="1:5" x14ac:dyDescent="0.25">
      <c r="A8" t="s">
        <v>9</v>
      </c>
      <c r="B8">
        <v>2</v>
      </c>
      <c r="C8" t="s">
        <v>6</v>
      </c>
      <c r="D8" t="s">
        <v>6</v>
      </c>
      <c r="E8">
        <v>2</v>
      </c>
    </row>
    <row r="9" spans="1:5" x14ac:dyDescent="0.25">
      <c r="A9" t="s">
        <v>10</v>
      </c>
      <c r="B9">
        <v>4</v>
      </c>
      <c r="C9" t="s">
        <v>6</v>
      </c>
      <c r="D9">
        <v>1</v>
      </c>
      <c r="E9">
        <v>5</v>
      </c>
    </row>
    <row r="10" spans="1:5" x14ac:dyDescent="0.25">
      <c r="A10" t="s">
        <v>11</v>
      </c>
      <c r="B10">
        <v>20</v>
      </c>
      <c r="C10" t="s">
        <v>6</v>
      </c>
      <c r="D10">
        <v>1</v>
      </c>
      <c r="E10">
        <v>21</v>
      </c>
    </row>
    <row r="11" spans="1:5" x14ac:dyDescent="0.25">
      <c r="A11" t="s">
        <v>12</v>
      </c>
      <c r="B11">
        <v>29</v>
      </c>
      <c r="C11">
        <v>2</v>
      </c>
      <c r="D11">
        <v>2</v>
      </c>
      <c r="E11">
        <v>33</v>
      </c>
    </row>
    <row r="12" spans="1:5" x14ac:dyDescent="0.25">
      <c r="A12" t="s">
        <v>13</v>
      </c>
      <c r="B12">
        <v>1</v>
      </c>
      <c r="C12" t="s">
        <v>6</v>
      </c>
      <c r="D12" t="s">
        <v>6</v>
      </c>
      <c r="E12">
        <v>1</v>
      </c>
    </row>
    <row r="13" spans="1:5" x14ac:dyDescent="0.25">
      <c r="A13" t="s">
        <v>14</v>
      </c>
      <c r="B13">
        <v>1</v>
      </c>
      <c r="C13" t="s">
        <v>6</v>
      </c>
      <c r="D13" t="s">
        <v>6</v>
      </c>
      <c r="E13">
        <v>1</v>
      </c>
    </row>
    <row r="14" spans="1:5" x14ac:dyDescent="0.25">
      <c r="A14" t="s">
        <v>15</v>
      </c>
      <c r="B14">
        <v>3</v>
      </c>
      <c r="C14" t="s">
        <v>6</v>
      </c>
      <c r="D14" t="s">
        <v>6</v>
      </c>
      <c r="E14">
        <v>3</v>
      </c>
    </row>
    <row r="15" spans="1:5" x14ac:dyDescent="0.25">
      <c r="A15" t="s">
        <v>16</v>
      </c>
      <c r="B15">
        <v>6</v>
      </c>
      <c r="C15">
        <v>1</v>
      </c>
      <c r="D15" t="s">
        <v>6</v>
      </c>
      <c r="E15">
        <v>7</v>
      </c>
    </row>
    <row r="16" spans="1:5" x14ac:dyDescent="0.25">
      <c r="A16" t="s">
        <v>17</v>
      </c>
      <c r="B16">
        <v>2</v>
      </c>
      <c r="C16" t="s">
        <v>6</v>
      </c>
      <c r="D16" t="s">
        <v>6</v>
      </c>
      <c r="E16">
        <v>2</v>
      </c>
    </row>
    <row r="17" spans="1:5" x14ac:dyDescent="0.25">
      <c r="A17" t="s">
        <v>18</v>
      </c>
      <c r="B17">
        <v>1</v>
      </c>
      <c r="C17" t="s">
        <v>6</v>
      </c>
      <c r="D17" t="s">
        <v>6</v>
      </c>
      <c r="E17">
        <v>1</v>
      </c>
    </row>
    <row r="18" spans="1:5" x14ac:dyDescent="0.25">
      <c r="A18" t="s">
        <v>19</v>
      </c>
      <c r="B18">
        <v>2</v>
      </c>
      <c r="C18" t="s">
        <v>6</v>
      </c>
      <c r="D18" t="s">
        <v>6</v>
      </c>
      <c r="E18">
        <v>2</v>
      </c>
    </row>
    <row r="19" spans="1:5" x14ac:dyDescent="0.25">
      <c r="A19" t="s">
        <v>20</v>
      </c>
      <c r="B19">
        <v>3</v>
      </c>
      <c r="C19" t="s">
        <v>6</v>
      </c>
      <c r="D19" t="s">
        <v>6</v>
      </c>
      <c r="E19">
        <v>3</v>
      </c>
    </row>
    <row r="20" spans="1:5" x14ac:dyDescent="0.25">
      <c r="A20" t="s">
        <v>21</v>
      </c>
      <c r="B20">
        <v>5</v>
      </c>
      <c r="C20" t="s">
        <v>6</v>
      </c>
      <c r="D20" t="s">
        <v>6</v>
      </c>
      <c r="E20">
        <v>5</v>
      </c>
    </row>
    <row r="21" spans="1:5" x14ac:dyDescent="0.25">
      <c r="A21" t="s">
        <v>22</v>
      </c>
      <c r="B21">
        <v>1</v>
      </c>
      <c r="C21" t="s">
        <v>6</v>
      </c>
      <c r="D21" t="s">
        <v>6</v>
      </c>
      <c r="E21">
        <v>1</v>
      </c>
    </row>
    <row r="22" spans="1:5" x14ac:dyDescent="0.25">
      <c r="A22" t="s">
        <v>23</v>
      </c>
      <c r="B22">
        <v>9</v>
      </c>
      <c r="C22" t="s">
        <v>6</v>
      </c>
      <c r="D22" t="s">
        <v>6</v>
      </c>
      <c r="E22">
        <v>9</v>
      </c>
    </row>
    <row r="23" spans="1:5" x14ac:dyDescent="0.25">
      <c r="A23" t="s">
        <v>24</v>
      </c>
      <c r="B23">
        <v>1</v>
      </c>
      <c r="C23" t="s">
        <v>6</v>
      </c>
      <c r="D23" t="s">
        <v>6</v>
      </c>
      <c r="E23">
        <v>1</v>
      </c>
    </row>
    <row r="24" spans="1:5" x14ac:dyDescent="0.25">
      <c r="A24" t="s">
        <v>25</v>
      </c>
      <c r="B24">
        <v>2</v>
      </c>
      <c r="C24" t="s">
        <v>6</v>
      </c>
      <c r="D24" t="s">
        <v>6</v>
      </c>
      <c r="E24">
        <v>2</v>
      </c>
    </row>
    <row r="25" spans="1:5" x14ac:dyDescent="0.25">
      <c r="A25" t="s">
        <v>26</v>
      </c>
      <c r="B25">
        <v>3</v>
      </c>
      <c r="C25" t="s">
        <v>6</v>
      </c>
      <c r="D25" t="s">
        <v>6</v>
      </c>
      <c r="E25">
        <v>3</v>
      </c>
    </row>
    <row r="26" spans="1:5" x14ac:dyDescent="0.25">
      <c r="A26" t="s">
        <v>27</v>
      </c>
      <c r="B26">
        <v>8</v>
      </c>
      <c r="C26" t="s">
        <v>6</v>
      </c>
      <c r="D26" t="s">
        <v>6</v>
      </c>
      <c r="E26">
        <v>8</v>
      </c>
    </row>
    <row r="27" spans="1:5" x14ac:dyDescent="0.25">
      <c r="A27" t="s">
        <v>28</v>
      </c>
      <c r="B27">
        <v>1</v>
      </c>
      <c r="C27" t="s">
        <v>6</v>
      </c>
      <c r="D27" t="s">
        <v>6</v>
      </c>
      <c r="E27">
        <v>1</v>
      </c>
    </row>
    <row r="28" spans="1:5" x14ac:dyDescent="0.25">
      <c r="A28" t="s">
        <v>29</v>
      </c>
      <c r="B28">
        <v>8</v>
      </c>
      <c r="C28" t="s">
        <v>6</v>
      </c>
      <c r="D28" t="s">
        <v>6</v>
      </c>
      <c r="E28">
        <v>8</v>
      </c>
    </row>
    <row r="29" spans="1:5" x14ac:dyDescent="0.25">
      <c r="A29" t="s">
        <v>30</v>
      </c>
      <c r="B29">
        <v>12</v>
      </c>
      <c r="C29">
        <v>1</v>
      </c>
      <c r="D29">
        <v>1</v>
      </c>
      <c r="E29">
        <v>14</v>
      </c>
    </row>
    <row r="30" spans="1:5" x14ac:dyDescent="0.25">
      <c r="A30" t="s">
        <v>31</v>
      </c>
      <c r="B30">
        <v>2</v>
      </c>
      <c r="C30" t="s">
        <v>6</v>
      </c>
      <c r="D30" t="s">
        <v>6</v>
      </c>
      <c r="E30">
        <v>2</v>
      </c>
    </row>
    <row r="31" spans="1:5" x14ac:dyDescent="0.25">
      <c r="A31" t="s">
        <v>32</v>
      </c>
      <c r="B31">
        <v>4</v>
      </c>
      <c r="C31" t="s">
        <v>6</v>
      </c>
      <c r="D31">
        <v>1</v>
      </c>
      <c r="E31">
        <v>5</v>
      </c>
    </row>
    <row r="32" spans="1:5" x14ac:dyDescent="0.25">
      <c r="A32" t="s">
        <v>33</v>
      </c>
      <c r="B32">
        <v>9</v>
      </c>
      <c r="C32" t="s">
        <v>6</v>
      </c>
      <c r="D32" t="s">
        <v>6</v>
      </c>
      <c r="E32">
        <v>9</v>
      </c>
    </row>
    <row r="33" spans="1:5" x14ac:dyDescent="0.25">
      <c r="A33" t="s">
        <v>34</v>
      </c>
      <c r="B33">
        <v>5</v>
      </c>
      <c r="C33" t="s">
        <v>6</v>
      </c>
      <c r="D33" t="s">
        <v>6</v>
      </c>
      <c r="E33">
        <v>5</v>
      </c>
    </row>
    <row r="34" spans="1:5" x14ac:dyDescent="0.25">
      <c r="A34" t="s">
        <v>35</v>
      </c>
      <c r="B34">
        <v>5</v>
      </c>
      <c r="C34" t="s">
        <v>6</v>
      </c>
      <c r="D34" t="s">
        <v>6</v>
      </c>
      <c r="E34">
        <v>5</v>
      </c>
    </row>
    <row r="35" spans="1:5" x14ac:dyDescent="0.25">
      <c r="A35" t="s">
        <v>36</v>
      </c>
      <c r="B35">
        <v>29</v>
      </c>
      <c r="C35" t="s">
        <v>6</v>
      </c>
      <c r="D35" t="s">
        <v>6</v>
      </c>
      <c r="E35">
        <v>29</v>
      </c>
    </row>
    <row r="36" spans="1:5" x14ac:dyDescent="0.25">
      <c r="A36" t="s">
        <v>37</v>
      </c>
      <c r="B36">
        <v>37</v>
      </c>
      <c r="C36" t="s">
        <v>6</v>
      </c>
      <c r="D36" t="s">
        <v>6</v>
      </c>
      <c r="E36">
        <v>37</v>
      </c>
    </row>
    <row r="37" spans="1:5" x14ac:dyDescent="0.25">
      <c r="A37" t="s">
        <v>4</v>
      </c>
      <c r="B37">
        <v>225</v>
      </c>
      <c r="C37">
        <v>4</v>
      </c>
      <c r="D37">
        <v>6</v>
      </c>
      <c r="E37">
        <v>235</v>
      </c>
    </row>
    <row r="38" spans="1:5" x14ac:dyDescent="0.25">
      <c r="A38" t="s">
        <v>38</v>
      </c>
    </row>
    <row r="39" spans="1:5" x14ac:dyDescent="0.25">
      <c r="A39" t="s">
        <v>39</v>
      </c>
    </row>
    <row r="40" spans="1:5" x14ac:dyDescent="0.25">
      <c r="A40" t="s">
        <v>40</v>
      </c>
    </row>
    <row r="41" spans="1:5" x14ac:dyDescent="0.25">
      <c r="A41" t="s">
        <v>41</v>
      </c>
    </row>
    <row r="42" spans="1:5" x14ac:dyDescent="0.25">
      <c r="A42" t="s">
        <v>42</v>
      </c>
    </row>
    <row r="43" spans="1:5" x14ac:dyDescent="0.25">
      <c r="A43" t="s">
        <v>43</v>
      </c>
    </row>
    <row r="44" spans="1:5" x14ac:dyDescent="0.25">
      <c r="A44" t="s">
        <v>44</v>
      </c>
    </row>
    <row r="45" spans="1:5" x14ac:dyDescent="0.25">
      <c r="A45" t="s">
        <v>45</v>
      </c>
    </row>
    <row r="46" spans="1:5" x14ac:dyDescent="0.25">
      <c r="A46" t="s">
        <v>46</v>
      </c>
    </row>
    <row r="47" spans="1:5" x14ac:dyDescent="0.25">
      <c r="A47" t="s">
        <v>47</v>
      </c>
    </row>
    <row r="48" spans="1:5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40</v>
      </c>
    </row>
    <row r="55" spans="1:1" x14ac:dyDescent="0.25">
      <c r="A55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6"/>
  <sheetViews>
    <sheetView topLeftCell="A54" workbookViewId="0">
      <selection activeCell="A65" sqref="A65"/>
    </sheetView>
  </sheetViews>
  <sheetFormatPr defaultRowHeight="15" x14ac:dyDescent="0.25"/>
  <cols>
    <col min="1" max="1" width="43" customWidth="1"/>
  </cols>
  <sheetData>
    <row r="1" spans="1:8" x14ac:dyDescent="0.25">
      <c r="A1" t="s">
        <v>0</v>
      </c>
    </row>
    <row r="2" spans="1:8" x14ac:dyDescent="0.25">
      <c r="A2" t="s">
        <v>88</v>
      </c>
    </row>
    <row r="3" spans="1:8" x14ac:dyDescent="0.25">
      <c r="A3" t="s">
        <v>2</v>
      </c>
    </row>
    <row r="4" spans="1:8" x14ac:dyDescent="0.25">
      <c r="A4" t="s">
        <v>89</v>
      </c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 t="s">
        <v>4</v>
      </c>
    </row>
    <row r="5" spans="1:8" x14ac:dyDescent="0.25">
      <c r="A5" t="s">
        <v>90</v>
      </c>
      <c r="B5">
        <v>1</v>
      </c>
      <c r="C5">
        <v>4</v>
      </c>
      <c r="D5" t="s">
        <v>6</v>
      </c>
      <c r="E5">
        <v>2</v>
      </c>
      <c r="F5">
        <v>2</v>
      </c>
      <c r="G5">
        <v>2</v>
      </c>
      <c r="H5">
        <v>11</v>
      </c>
    </row>
    <row r="6" spans="1:8" x14ac:dyDescent="0.25">
      <c r="A6" t="s">
        <v>91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>
        <v>1</v>
      </c>
      <c r="H6">
        <v>1</v>
      </c>
    </row>
    <row r="7" spans="1:8" x14ac:dyDescent="0.25">
      <c r="A7" t="s">
        <v>92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>
        <v>1</v>
      </c>
      <c r="H7">
        <v>1</v>
      </c>
    </row>
    <row r="8" spans="1:8" x14ac:dyDescent="0.25">
      <c r="A8" t="s">
        <v>93</v>
      </c>
      <c r="B8" t="s">
        <v>6</v>
      </c>
      <c r="C8">
        <v>2</v>
      </c>
      <c r="D8" t="s">
        <v>6</v>
      </c>
      <c r="E8" t="s">
        <v>6</v>
      </c>
      <c r="F8" t="s">
        <v>6</v>
      </c>
      <c r="G8" t="s">
        <v>6</v>
      </c>
      <c r="H8">
        <v>2</v>
      </c>
    </row>
    <row r="9" spans="1:8" x14ac:dyDescent="0.25">
      <c r="A9" t="s">
        <v>94</v>
      </c>
      <c r="B9" t="s">
        <v>6</v>
      </c>
      <c r="C9" t="s">
        <v>6</v>
      </c>
      <c r="D9" t="s">
        <v>6</v>
      </c>
      <c r="E9" t="s">
        <v>6</v>
      </c>
      <c r="F9">
        <v>1</v>
      </c>
      <c r="G9" t="s">
        <v>6</v>
      </c>
      <c r="H9">
        <v>1</v>
      </c>
    </row>
    <row r="10" spans="1:8" x14ac:dyDescent="0.25">
      <c r="A10" t="s">
        <v>95</v>
      </c>
      <c r="B10" t="s">
        <v>6</v>
      </c>
      <c r="C10" t="s">
        <v>6</v>
      </c>
      <c r="D10" t="s">
        <v>6</v>
      </c>
      <c r="E10">
        <v>1</v>
      </c>
      <c r="F10" t="s">
        <v>6</v>
      </c>
      <c r="G10" t="s">
        <v>6</v>
      </c>
      <c r="H10">
        <v>1</v>
      </c>
    </row>
    <row r="11" spans="1:8" x14ac:dyDescent="0.25">
      <c r="A11" t="s">
        <v>96</v>
      </c>
      <c r="B11">
        <v>1</v>
      </c>
      <c r="C11">
        <v>2</v>
      </c>
      <c r="D11" t="s">
        <v>6</v>
      </c>
      <c r="E11">
        <v>1</v>
      </c>
      <c r="F11">
        <v>1</v>
      </c>
      <c r="G11" t="s">
        <v>6</v>
      </c>
      <c r="H11">
        <v>5</v>
      </c>
    </row>
    <row r="12" spans="1:8" x14ac:dyDescent="0.25">
      <c r="A12" t="s">
        <v>97</v>
      </c>
      <c r="B12">
        <v>3</v>
      </c>
      <c r="C12">
        <v>3</v>
      </c>
      <c r="D12">
        <v>3</v>
      </c>
      <c r="E12">
        <v>5</v>
      </c>
      <c r="F12">
        <v>1</v>
      </c>
      <c r="G12">
        <v>6</v>
      </c>
      <c r="H12">
        <v>21</v>
      </c>
    </row>
    <row r="13" spans="1:8" x14ac:dyDescent="0.25">
      <c r="A13" t="s">
        <v>98</v>
      </c>
      <c r="B13" t="s">
        <v>6</v>
      </c>
      <c r="C13" t="s">
        <v>6</v>
      </c>
      <c r="D13">
        <v>1</v>
      </c>
      <c r="E13" t="s">
        <v>6</v>
      </c>
      <c r="F13" t="s">
        <v>6</v>
      </c>
      <c r="G13" t="s">
        <v>6</v>
      </c>
      <c r="H13">
        <v>1</v>
      </c>
    </row>
    <row r="14" spans="1:8" x14ac:dyDescent="0.25">
      <c r="A14" t="s">
        <v>99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>
        <v>1</v>
      </c>
      <c r="H14">
        <v>1</v>
      </c>
    </row>
    <row r="15" spans="1:8" x14ac:dyDescent="0.25">
      <c r="A15" t="s">
        <v>100</v>
      </c>
      <c r="B15" t="s">
        <v>6</v>
      </c>
      <c r="C15" t="s">
        <v>6</v>
      </c>
      <c r="D15" t="s">
        <v>6</v>
      </c>
      <c r="E15">
        <v>1</v>
      </c>
      <c r="F15" t="s">
        <v>6</v>
      </c>
      <c r="G15">
        <v>1</v>
      </c>
      <c r="H15">
        <v>2</v>
      </c>
    </row>
    <row r="16" spans="1:8" x14ac:dyDescent="0.25">
      <c r="A16" t="s">
        <v>101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>
        <v>1</v>
      </c>
      <c r="H16">
        <v>1</v>
      </c>
    </row>
    <row r="17" spans="1:8" x14ac:dyDescent="0.25">
      <c r="A17" t="s">
        <v>102</v>
      </c>
      <c r="B17" t="s">
        <v>6</v>
      </c>
      <c r="C17">
        <v>1</v>
      </c>
      <c r="D17" t="s">
        <v>6</v>
      </c>
      <c r="E17" t="s">
        <v>6</v>
      </c>
      <c r="F17" t="s">
        <v>6</v>
      </c>
      <c r="G17" t="s">
        <v>6</v>
      </c>
      <c r="H17">
        <v>1</v>
      </c>
    </row>
    <row r="18" spans="1:8" x14ac:dyDescent="0.25">
      <c r="A18" t="s">
        <v>103</v>
      </c>
      <c r="B18">
        <v>1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>
        <v>1</v>
      </c>
    </row>
    <row r="19" spans="1:8" x14ac:dyDescent="0.25">
      <c r="A19" t="s">
        <v>104</v>
      </c>
      <c r="B19">
        <v>1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>
        <v>1</v>
      </c>
    </row>
    <row r="20" spans="1:8" x14ac:dyDescent="0.25">
      <c r="A20" t="s">
        <v>105</v>
      </c>
      <c r="B20" t="s">
        <v>6</v>
      </c>
      <c r="C20">
        <v>1</v>
      </c>
      <c r="D20">
        <v>1</v>
      </c>
      <c r="E20" t="s">
        <v>6</v>
      </c>
      <c r="F20" t="s">
        <v>6</v>
      </c>
      <c r="G20" t="s">
        <v>6</v>
      </c>
      <c r="H20">
        <v>2</v>
      </c>
    </row>
    <row r="21" spans="1:8" x14ac:dyDescent="0.25">
      <c r="A21" t="s">
        <v>106</v>
      </c>
      <c r="B21" t="s">
        <v>6</v>
      </c>
      <c r="C21" t="s">
        <v>6</v>
      </c>
      <c r="D21">
        <v>1</v>
      </c>
      <c r="E21" t="s">
        <v>6</v>
      </c>
      <c r="F21" t="s">
        <v>6</v>
      </c>
      <c r="G21" t="s">
        <v>6</v>
      </c>
      <c r="H21">
        <v>1</v>
      </c>
    </row>
    <row r="22" spans="1:8" x14ac:dyDescent="0.25">
      <c r="A22" t="s">
        <v>107</v>
      </c>
      <c r="B22" t="s">
        <v>6</v>
      </c>
      <c r="C22" t="s">
        <v>6</v>
      </c>
      <c r="D22" t="s">
        <v>6</v>
      </c>
      <c r="E22">
        <v>1</v>
      </c>
      <c r="F22" t="s">
        <v>6</v>
      </c>
      <c r="G22">
        <v>2</v>
      </c>
      <c r="H22">
        <v>3</v>
      </c>
    </row>
    <row r="23" spans="1:8" x14ac:dyDescent="0.25">
      <c r="A23" t="s">
        <v>108</v>
      </c>
      <c r="B23" t="s">
        <v>6</v>
      </c>
      <c r="C23" t="s">
        <v>6</v>
      </c>
      <c r="D23" t="s">
        <v>6</v>
      </c>
      <c r="E23">
        <v>1</v>
      </c>
      <c r="F23">
        <v>1</v>
      </c>
      <c r="G23">
        <v>1</v>
      </c>
      <c r="H23">
        <v>3</v>
      </c>
    </row>
    <row r="24" spans="1:8" x14ac:dyDescent="0.25">
      <c r="A24" t="s">
        <v>109</v>
      </c>
      <c r="B24">
        <v>1</v>
      </c>
      <c r="C24">
        <v>1</v>
      </c>
      <c r="D24" t="s">
        <v>6</v>
      </c>
      <c r="E24">
        <v>1</v>
      </c>
      <c r="F24" t="s">
        <v>6</v>
      </c>
      <c r="G24" t="s">
        <v>6</v>
      </c>
      <c r="H24">
        <v>3</v>
      </c>
    </row>
    <row r="25" spans="1:8" x14ac:dyDescent="0.25">
      <c r="A25" t="s">
        <v>110</v>
      </c>
      <c r="B25" t="s">
        <v>6</v>
      </c>
      <c r="C25" t="s">
        <v>6</v>
      </c>
      <c r="D25" t="s">
        <v>6</v>
      </c>
      <c r="E25">
        <v>1</v>
      </c>
      <c r="F25" t="s">
        <v>6</v>
      </c>
      <c r="G25" t="s">
        <v>6</v>
      </c>
      <c r="H25">
        <v>1</v>
      </c>
    </row>
    <row r="28" spans="1:8" x14ac:dyDescent="0.25">
      <c r="A28" s="12" t="s">
        <v>111</v>
      </c>
      <c r="B28" s="12">
        <v>5</v>
      </c>
      <c r="C28" s="12">
        <v>5</v>
      </c>
      <c r="D28" s="12">
        <v>7</v>
      </c>
      <c r="E28" s="12">
        <v>2</v>
      </c>
      <c r="F28" s="12">
        <v>1</v>
      </c>
      <c r="G28" s="12">
        <v>3</v>
      </c>
      <c r="H28" s="12">
        <v>23</v>
      </c>
    </row>
    <row r="29" spans="1:8" x14ac:dyDescent="0.25">
      <c r="A29" t="s">
        <v>112</v>
      </c>
      <c r="B29" t="s">
        <v>6</v>
      </c>
      <c r="C29" t="s">
        <v>6</v>
      </c>
      <c r="D29">
        <v>1</v>
      </c>
      <c r="E29" t="s">
        <v>6</v>
      </c>
      <c r="F29">
        <v>1</v>
      </c>
      <c r="G29" t="s">
        <v>6</v>
      </c>
      <c r="H29">
        <v>2</v>
      </c>
    </row>
    <row r="30" spans="1:8" x14ac:dyDescent="0.25">
      <c r="A30" t="s">
        <v>113</v>
      </c>
      <c r="B30">
        <v>1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>
        <v>1</v>
      </c>
    </row>
    <row r="31" spans="1:8" x14ac:dyDescent="0.25">
      <c r="A31" t="s">
        <v>114</v>
      </c>
      <c r="B31" t="s">
        <v>6</v>
      </c>
      <c r="C31">
        <v>1</v>
      </c>
      <c r="D31">
        <v>1</v>
      </c>
      <c r="E31" t="s">
        <v>6</v>
      </c>
      <c r="F31" t="s">
        <v>6</v>
      </c>
      <c r="G31" t="s">
        <v>6</v>
      </c>
      <c r="H31">
        <v>2</v>
      </c>
    </row>
    <row r="32" spans="1:8" x14ac:dyDescent="0.25">
      <c r="A32" t="s">
        <v>115</v>
      </c>
      <c r="B32" t="s">
        <v>6</v>
      </c>
      <c r="C32">
        <v>1</v>
      </c>
      <c r="D32">
        <v>1</v>
      </c>
      <c r="E32" t="s">
        <v>6</v>
      </c>
      <c r="F32" t="s">
        <v>6</v>
      </c>
      <c r="G32" t="s">
        <v>6</v>
      </c>
      <c r="H32">
        <v>2</v>
      </c>
    </row>
    <row r="33" spans="1:8" x14ac:dyDescent="0.25">
      <c r="A33" t="s">
        <v>116</v>
      </c>
      <c r="B33">
        <v>1</v>
      </c>
      <c r="C33" t="s">
        <v>6</v>
      </c>
      <c r="D33" t="s">
        <v>6</v>
      </c>
      <c r="E33">
        <v>1</v>
      </c>
      <c r="F33" t="s">
        <v>6</v>
      </c>
      <c r="G33" t="s">
        <v>6</v>
      </c>
      <c r="H33">
        <v>2</v>
      </c>
    </row>
    <row r="34" spans="1:8" x14ac:dyDescent="0.25">
      <c r="A34" t="s">
        <v>117</v>
      </c>
      <c r="B34" t="s">
        <v>6</v>
      </c>
      <c r="C34" t="s">
        <v>6</v>
      </c>
      <c r="D34">
        <v>1</v>
      </c>
      <c r="E34" t="s">
        <v>6</v>
      </c>
      <c r="F34" t="s">
        <v>6</v>
      </c>
      <c r="G34">
        <v>1</v>
      </c>
      <c r="H34">
        <v>2</v>
      </c>
    </row>
    <row r="35" spans="1:8" x14ac:dyDescent="0.25">
      <c r="A35" t="s">
        <v>118</v>
      </c>
      <c r="B35">
        <v>1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>
        <v>1</v>
      </c>
    </row>
    <row r="36" spans="1:8" x14ac:dyDescent="0.25">
      <c r="A36" t="s">
        <v>119</v>
      </c>
      <c r="B36">
        <v>1</v>
      </c>
      <c r="C36" t="s">
        <v>6</v>
      </c>
      <c r="D36">
        <v>2</v>
      </c>
      <c r="E36" t="s">
        <v>6</v>
      </c>
      <c r="F36" t="s">
        <v>6</v>
      </c>
      <c r="G36">
        <v>1</v>
      </c>
      <c r="H36">
        <v>4</v>
      </c>
    </row>
    <row r="37" spans="1:8" x14ac:dyDescent="0.25">
      <c r="A37" t="s">
        <v>120</v>
      </c>
      <c r="B37" t="s">
        <v>6</v>
      </c>
      <c r="C37" t="s">
        <v>6</v>
      </c>
      <c r="D37">
        <v>1</v>
      </c>
      <c r="E37">
        <v>1</v>
      </c>
      <c r="F37" t="s">
        <v>6</v>
      </c>
      <c r="G37" t="s">
        <v>6</v>
      </c>
      <c r="H37">
        <v>2</v>
      </c>
    </row>
    <row r="38" spans="1:8" x14ac:dyDescent="0.25">
      <c r="A38" t="s">
        <v>121</v>
      </c>
      <c r="B38" t="s">
        <v>6</v>
      </c>
      <c r="C38">
        <v>1</v>
      </c>
      <c r="D38" t="s">
        <v>6</v>
      </c>
      <c r="E38" t="s">
        <v>6</v>
      </c>
      <c r="F38" t="s">
        <v>6</v>
      </c>
      <c r="G38" t="s">
        <v>6</v>
      </c>
      <c r="H38">
        <v>1</v>
      </c>
    </row>
    <row r="39" spans="1:8" x14ac:dyDescent="0.25">
      <c r="A39" t="s">
        <v>122</v>
      </c>
      <c r="B39">
        <v>1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>
        <v>1</v>
      </c>
    </row>
    <row r="40" spans="1:8" x14ac:dyDescent="0.25">
      <c r="A40" t="s">
        <v>123</v>
      </c>
      <c r="B40" t="s">
        <v>6</v>
      </c>
      <c r="C40">
        <v>1</v>
      </c>
      <c r="D40" t="s">
        <v>6</v>
      </c>
      <c r="E40" t="s">
        <v>6</v>
      </c>
      <c r="F40" t="s">
        <v>6</v>
      </c>
      <c r="G40">
        <v>1</v>
      </c>
      <c r="H40">
        <v>2</v>
      </c>
    </row>
    <row r="41" spans="1:8" x14ac:dyDescent="0.25">
      <c r="A41" t="s">
        <v>124</v>
      </c>
      <c r="B41" t="s">
        <v>6</v>
      </c>
      <c r="C41">
        <v>1</v>
      </c>
      <c r="D41" t="s">
        <v>6</v>
      </c>
      <c r="E41" t="s">
        <v>6</v>
      </c>
      <c r="F41" t="s">
        <v>6</v>
      </c>
      <c r="G41" t="s">
        <v>6</v>
      </c>
      <c r="H41">
        <v>1</v>
      </c>
    </row>
    <row r="44" spans="1:8" x14ac:dyDescent="0.25">
      <c r="A44" t="s">
        <v>125</v>
      </c>
      <c r="B44">
        <v>15</v>
      </c>
      <c r="C44">
        <v>11</v>
      </c>
      <c r="D44">
        <v>23</v>
      </c>
      <c r="E44">
        <v>9</v>
      </c>
      <c r="F44">
        <v>9</v>
      </c>
      <c r="G44">
        <v>7</v>
      </c>
      <c r="H44">
        <v>74</v>
      </c>
    </row>
    <row r="45" spans="1:8" x14ac:dyDescent="0.25">
      <c r="A45" t="s">
        <v>126</v>
      </c>
      <c r="B45" t="s">
        <v>6</v>
      </c>
      <c r="C45" t="s">
        <v>6</v>
      </c>
      <c r="D45">
        <v>1</v>
      </c>
      <c r="E45">
        <v>1</v>
      </c>
      <c r="F45" t="s">
        <v>6</v>
      </c>
      <c r="G45" t="s">
        <v>6</v>
      </c>
      <c r="H45">
        <v>2</v>
      </c>
    </row>
    <row r="46" spans="1:8" x14ac:dyDescent="0.25">
      <c r="A46" t="s">
        <v>127</v>
      </c>
      <c r="B46" t="s">
        <v>6</v>
      </c>
      <c r="C46" t="s">
        <v>6</v>
      </c>
      <c r="D46">
        <v>1</v>
      </c>
      <c r="E46" t="s">
        <v>6</v>
      </c>
      <c r="F46" t="s">
        <v>6</v>
      </c>
      <c r="G46" t="s">
        <v>6</v>
      </c>
      <c r="H46">
        <v>1</v>
      </c>
    </row>
    <row r="47" spans="1:8" x14ac:dyDescent="0.25">
      <c r="A47" t="s">
        <v>128</v>
      </c>
      <c r="B47">
        <v>1</v>
      </c>
      <c r="C47">
        <v>2</v>
      </c>
      <c r="D47" t="s">
        <v>6</v>
      </c>
      <c r="E47" t="s">
        <v>6</v>
      </c>
      <c r="F47" t="s">
        <v>6</v>
      </c>
      <c r="G47" t="s">
        <v>6</v>
      </c>
      <c r="H47">
        <v>3</v>
      </c>
    </row>
    <row r="48" spans="1:8" x14ac:dyDescent="0.25">
      <c r="A48" t="s">
        <v>129</v>
      </c>
      <c r="B48" t="s">
        <v>6</v>
      </c>
      <c r="C48" t="s">
        <v>6</v>
      </c>
      <c r="D48">
        <v>1</v>
      </c>
      <c r="E48" t="s">
        <v>6</v>
      </c>
      <c r="F48" t="s">
        <v>6</v>
      </c>
      <c r="G48" t="s">
        <v>6</v>
      </c>
      <c r="H48">
        <v>1</v>
      </c>
    </row>
    <row r="49" spans="1:8" x14ac:dyDescent="0.25">
      <c r="A49" t="s">
        <v>130</v>
      </c>
      <c r="B49">
        <v>3</v>
      </c>
      <c r="C49" t="s">
        <v>6</v>
      </c>
      <c r="D49">
        <v>1</v>
      </c>
      <c r="E49">
        <v>1</v>
      </c>
      <c r="F49" t="s">
        <v>6</v>
      </c>
      <c r="G49" t="s">
        <v>6</v>
      </c>
      <c r="H49">
        <v>5</v>
      </c>
    </row>
    <row r="50" spans="1:8" x14ac:dyDescent="0.25">
      <c r="A50" t="s">
        <v>131</v>
      </c>
      <c r="B50">
        <v>9</v>
      </c>
      <c r="C50">
        <v>7</v>
      </c>
      <c r="D50">
        <v>13</v>
      </c>
      <c r="E50">
        <v>5</v>
      </c>
      <c r="F50">
        <v>7</v>
      </c>
      <c r="G50">
        <v>5</v>
      </c>
      <c r="H50">
        <v>46</v>
      </c>
    </row>
    <row r="51" spans="1:8" x14ac:dyDescent="0.25">
      <c r="A51" t="s">
        <v>132</v>
      </c>
      <c r="B51" t="s">
        <v>6</v>
      </c>
      <c r="C51" t="s">
        <v>6</v>
      </c>
      <c r="D51">
        <v>1</v>
      </c>
      <c r="E51" t="s">
        <v>6</v>
      </c>
      <c r="F51" t="s">
        <v>6</v>
      </c>
      <c r="G51" t="s">
        <v>6</v>
      </c>
      <c r="H51">
        <v>1</v>
      </c>
    </row>
    <row r="52" spans="1:8" x14ac:dyDescent="0.25">
      <c r="A52" t="s">
        <v>133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  <c r="G52">
        <v>1</v>
      </c>
      <c r="H52">
        <v>1</v>
      </c>
    </row>
    <row r="53" spans="1:8" x14ac:dyDescent="0.25">
      <c r="A53" t="s">
        <v>134</v>
      </c>
      <c r="B53">
        <v>1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>
        <v>1</v>
      </c>
    </row>
    <row r="54" spans="1:8" x14ac:dyDescent="0.25">
      <c r="A54" t="s">
        <v>135</v>
      </c>
      <c r="B54" t="s">
        <v>6</v>
      </c>
      <c r="C54" t="s">
        <v>6</v>
      </c>
      <c r="D54">
        <v>2</v>
      </c>
      <c r="E54" t="s">
        <v>6</v>
      </c>
      <c r="F54" t="s">
        <v>6</v>
      </c>
      <c r="G54">
        <v>1</v>
      </c>
      <c r="H54">
        <v>3</v>
      </c>
    </row>
    <row r="55" spans="1:8" x14ac:dyDescent="0.25">
      <c r="A55" t="s">
        <v>136</v>
      </c>
      <c r="B55" t="s">
        <v>6</v>
      </c>
      <c r="C55">
        <v>1</v>
      </c>
      <c r="D55" t="s">
        <v>6</v>
      </c>
      <c r="E55" t="s">
        <v>6</v>
      </c>
      <c r="F55">
        <v>1</v>
      </c>
      <c r="G55" t="s">
        <v>6</v>
      </c>
      <c r="H55">
        <v>2</v>
      </c>
    </row>
    <row r="56" spans="1:8" x14ac:dyDescent="0.25">
      <c r="A56" t="s">
        <v>137</v>
      </c>
      <c r="B56" t="s">
        <v>6</v>
      </c>
      <c r="C56" t="s">
        <v>6</v>
      </c>
      <c r="D56">
        <v>1</v>
      </c>
      <c r="E56">
        <v>2</v>
      </c>
      <c r="F56" t="s">
        <v>6</v>
      </c>
      <c r="G56" t="s">
        <v>6</v>
      </c>
      <c r="H56">
        <v>3</v>
      </c>
    </row>
    <row r="57" spans="1:8" x14ac:dyDescent="0.25">
      <c r="A57" t="s">
        <v>138</v>
      </c>
      <c r="B57" t="s">
        <v>6</v>
      </c>
      <c r="C57" t="s">
        <v>6</v>
      </c>
      <c r="D57">
        <v>2</v>
      </c>
      <c r="E57" t="s">
        <v>6</v>
      </c>
      <c r="F57">
        <v>1</v>
      </c>
      <c r="G57" t="s">
        <v>6</v>
      </c>
      <c r="H57">
        <v>3</v>
      </c>
    </row>
    <row r="58" spans="1:8" x14ac:dyDescent="0.25">
      <c r="A58" t="s">
        <v>139</v>
      </c>
      <c r="B58">
        <v>1</v>
      </c>
      <c r="C58">
        <v>1</v>
      </c>
      <c r="D58" t="s">
        <v>6</v>
      </c>
      <c r="E58" t="s">
        <v>6</v>
      </c>
      <c r="F58" t="s">
        <v>6</v>
      </c>
      <c r="G58" t="s">
        <v>6</v>
      </c>
      <c r="H58">
        <v>2</v>
      </c>
    </row>
    <row r="59" spans="1:8" x14ac:dyDescent="0.25">
      <c r="A59" t="s">
        <v>140</v>
      </c>
      <c r="B59">
        <v>3</v>
      </c>
      <c r="C59">
        <v>2</v>
      </c>
      <c r="D59">
        <v>5</v>
      </c>
      <c r="E59">
        <v>2</v>
      </c>
      <c r="F59">
        <v>6</v>
      </c>
      <c r="G59">
        <v>6</v>
      </c>
      <c r="H59">
        <v>24</v>
      </c>
    </row>
    <row r="60" spans="1:8" x14ac:dyDescent="0.25">
      <c r="A60" t="s">
        <v>141</v>
      </c>
      <c r="B60" t="s">
        <v>6</v>
      </c>
      <c r="C60" t="s">
        <v>6</v>
      </c>
      <c r="D60" t="s">
        <v>6</v>
      </c>
      <c r="E60" t="s">
        <v>6</v>
      </c>
      <c r="F60">
        <v>1</v>
      </c>
      <c r="G60" t="s">
        <v>6</v>
      </c>
      <c r="H60">
        <v>1</v>
      </c>
    </row>
    <row r="61" spans="1:8" x14ac:dyDescent="0.25">
      <c r="A61" t="s">
        <v>142</v>
      </c>
      <c r="B61">
        <v>1</v>
      </c>
      <c r="C61" t="s">
        <v>6</v>
      </c>
      <c r="D61">
        <v>1</v>
      </c>
      <c r="E61" t="s">
        <v>6</v>
      </c>
      <c r="F61" t="s">
        <v>6</v>
      </c>
      <c r="G61">
        <v>1</v>
      </c>
      <c r="H61">
        <v>3</v>
      </c>
    </row>
    <row r="62" spans="1:8" x14ac:dyDescent="0.25">
      <c r="A62" t="s">
        <v>143</v>
      </c>
      <c r="B62">
        <v>2</v>
      </c>
      <c r="C62">
        <v>2</v>
      </c>
      <c r="D62">
        <v>2</v>
      </c>
      <c r="E62">
        <v>1</v>
      </c>
      <c r="F62">
        <v>4</v>
      </c>
      <c r="G62">
        <v>2</v>
      </c>
      <c r="H62">
        <v>13</v>
      </c>
    </row>
    <row r="63" spans="1:8" x14ac:dyDescent="0.25">
      <c r="A63" t="s">
        <v>144</v>
      </c>
      <c r="B63" t="s">
        <v>6</v>
      </c>
      <c r="C63" t="s">
        <v>6</v>
      </c>
      <c r="D63">
        <v>1</v>
      </c>
      <c r="E63">
        <v>1</v>
      </c>
      <c r="F63" t="s">
        <v>6</v>
      </c>
      <c r="G63">
        <v>1</v>
      </c>
      <c r="H63">
        <v>3</v>
      </c>
    </row>
    <row r="64" spans="1:8" x14ac:dyDescent="0.25">
      <c r="A64" t="s">
        <v>145</v>
      </c>
      <c r="B64" t="s">
        <v>6</v>
      </c>
      <c r="C64" t="s">
        <v>6</v>
      </c>
      <c r="D64">
        <v>1</v>
      </c>
      <c r="E64" t="s">
        <v>6</v>
      </c>
      <c r="F64">
        <v>1</v>
      </c>
      <c r="G64">
        <v>2</v>
      </c>
      <c r="H64">
        <v>4</v>
      </c>
    </row>
    <row r="65" spans="1:8" x14ac:dyDescent="0.25">
      <c r="A65" t="s">
        <v>146</v>
      </c>
      <c r="B65">
        <v>3</v>
      </c>
      <c r="C65">
        <v>5</v>
      </c>
      <c r="D65">
        <v>3</v>
      </c>
      <c r="E65">
        <v>3</v>
      </c>
      <c r="F65" t="s">
        <v>6</v>
      </c>
      <c r="G65" t="s">
        <v>6</v>
      </c>
      <c r="H65">
        <v>14</v>
      </c>
    </row>
    <row r="66" spans="1:8" x14ac:dyDescent="0.25">
      <c r="A66" t="s">
        <v>147</v>
      </c>
      <c r="B66" t="s">
        <v>6</v>
      </c>
      <c r="C66" t="s">
        <v>6</v>
      </c>
      <c r="D66">
        <v>1</v>
      </c>
      <c r="E66">
        <v>2</v>
      </c>
      <c r="F66" t="s">
        <v>6</v>
      </c>
      <c r="G66" t="s">
        <v>6</v>
      </c>
      <c r="H66">
        <v>3</v>
      </c>
    </row>
    <row r="67" spans="1:8" x14ac:dyDescent="0.25">
      <c r="A67" t="s">
        <v>148</v>
      </c>
      <c r="B67">
        <v>1</v>
      </c>
      <c r="C67">
        <v>2</v>
      </c>
      <c r="D67" t="s">
        <v>6</v>
      </c>
      <c r="E67" t="s">
        <v>6</v>
      </c>
      <c r="F67" t="s">
        <v>6</v>
      </c>
      <c r="G67" t="s">
        <v>6</v>
      </c>
      <c r="H67">
        <v>3</v>
      </c>
    </row>
    <row r="68" spans="1:8" x14ac:dyDescent="0.25">
      <c r="A68" t="s">
        <v>149</v>
      </c>
      <c r="B68" t="s">
        <v>6</v>
      </c>
      <c r="C68" t="s">
        <v>6</v>
      </c>
      <c r="D68">
        <v>1</v>
      </c>
      <c r="E68" t="s">
        <v>6</v>
      </c>
      <c r="F68" t="s">
        <v>6</v>
      </c>
      <c r="G68" t="s">
        <v>6</v>
      </c>
      <c r="H68">
        <v>1</v>
      </c>
    </row>
    <row r="69" spans="1:8" x14ac:dyDescent="0.25">
      <c r="A69" t="s">
        <v>150</v>
      </c>
      <c r="B69">
        <v>1</v>
      </c>
      <c r="C69">
        <v>2</v>
      </c>
      <c r="D69">
        <v>1</v>
      </c>
      <c r="E69">
        <v>1</v>
      </c>
      <c r="F69" t="s">
        <v>6</v>
      </c>
      <c r="G69" t="s">
        <v>6</v>
      </c>
      <c r="H69">
        <v>5</v>
      </c>
    </row>
    <row r="70" spans="1:8" x14ac:dyDescent="0.25">
      <c r="A70" t="s">
        <v>151</v>
      </c>
      <c r="B70">
        <v>1</v>
      </c>
      <c r="C70">
        <v>1</v>
      </c>
      <c r="D70" t="s">
        <v>6</v>
      </c>
      <c r="E70" t="s">
        <v>6</v>
      </c>
      <c r="F70" t="s">
        <v>6</v>
      </c>
      <c r="G70" t="s">
        <v>6</v>
      </c>
      <c r="H70">
        <v>2</v>
      </c>
    </row>
    <row r="71" spans="1:8" x14ac:dyDescent="0.25">
      <c r="A71" t="s">
        <v>152</v>
      </c>
      <c r="B71">
        <v>1</v>
      </c>
      <c r="C71">
        <v>1</v>
      </c>
      <c r="D71">
        <v>3</v>
      </c>
      <c r="E71" t="s">
        <v>6</v>
      </c>
      <c r="F71" t="s">
        <v>6</v>
      </c>
      <c r="G71">
        <v>2</v>
      </c>
      <c r="H71">
        <v>7</v>
      </c>
    </row>
    <row r="72" spans="1:8" x14ac:dyDescent="0.25">
      <c r="A72" t="s">
        <v>153</v>
      </c>
      <c r="B72">
        <v>1</v>
      </c>
      <c r="C72">
        <v>1</v>
      </c>
      <c r="D72">
        <v>1</v>
      </c>
      <c r="E72" t="s">
        <v>6</v>
      </c>
      <c r="F72" t="s">
        <v>6</v>
      </c>
      <c r="G72" t="s">
        <v>6</v>
      </c>
      <c r="H72">
        <v>3</v>
      </c>
    </row>
    <row r="73" spans="1:8" x14ac:dyDescent="0.25">
      <c r="A73" t="s">
        <v>154</v>
      </c>
      <c r="B73" t="s">
        <v>6</v>
      </c>
      <c r="C73" t="s">
        <v>6</v>
      </c>
      <c r="D73">
        <v>1</v>
      </c>
      <c r="E73" t="s">
        <v>6</v>
      </c>
      <c r="F73" t="s">
        <v>6</v>
      </c>
      <c r="G73" t="s">
        <v>6</v>
      </c>
      <c r="H73">
        <v>1</v>
      </c>
    </row>
    <row r="74" spans="1:8" x14ac:dyDescent="0.25">
      <c r="A74" t="s">
        <v>155</v>
      </c>
      <c r="B74" t="s">
        <v>6</v>
      </c>
      <c r="C74" t="s">
        <v>6</v>
      </c>
      <c r="D74">
        <v>1</v>
      </c>
      <c r="E74" t="s">
        <v>6</v>
      </c>
      <c r="F74" t="s">
        <v>6</v>
      </c>
      <c r="G74">
        <v>2</v>
      </c>
      <c r="H74">
        <v>3</v>
      </c>
    </row>
    <row r="75" spans="1:8" x14ac:dyDescent="0.25">
      <c r="A75" t="s">
        <v>156</v>
      </c>
      <c r="B75">
        <v>3</v>
      </c>
      <c r="C75">
        <v>1</v>
      </c>
      <c r="D75">
        <v>5</v>
      </c>
      <c r="E75">
        <v>1</v>
      </c>
      <c r="F75">
        <v>2</v>
      </c>
      <c r="G75">
        <v>4</v>
      </c>
      <c r="H75">
        <v>16</v>
      </c>
    </row>
    <row r="76" spans="1:8" x14ac:dyDescent="0.25">
      <c r="A76" t="s">
        <v>157</v>
      </c>
      <c r="B76" t="s">
        <v>6</v>
      </c>
      <c r="C76">
        <v>1</v>
      </c>
      <c r="D76" t="s">
        <v>6</v>
      </c>
      <c r="E76" t="s">
        <v>6</v>
      </c>
      <c r="F76" t="s">
        <v>6</v>
      </c>
      <c r="G76" t="s">
        <v>6</v>
      </c>
      <c r="H76">
        <v>1</v>
      </c>
    </row>
    <row r="77" spans="1:8" x14ac:dyDescent="0.25">
      <c r="A77" t="s">
        <v>158</v>
      </c>
      <c r="B77" t="s">
        <v>6</v>
      </c>
      <c r="C77" t="s">
        <v>6</v>
      </c>
      <c r="D77" t="s">
        <v>6</v>
      </c>
      <c r="E77" t="s">
        <v>6</v>
      </c>
      <c r="F77">
        <v>1</v>
      </c>
      <c r="G77" t="s">
        <v>6</v>
      </c>
      <c r="H77">
        <v>1</v>
      </c>
    </row>
    <row r="78" spans="1:8" x14ac:dyDescent="0.25">
      <c r="A78" t="s">
        <v>159</v>
      </c>
      <c r="B78">
        <v>2</v>
      </c>
      <c r="C78" t="s">
        <v>6</v>
      </c>
      <c r="D78">
        <v>1</v>
      </c>
      <c r="E78" t="s">
        <v>6</v>
      </c>
      <c r="F78" t="s">
        <v>6</v>
      </c>
      <c r="G78">
        <v>1</v>
      </c>
      <c r="H78">
        <v>4</v>
      </c>
    </row>
    <row r="79" spans="1:8" x14ac:dyDescent="0.25">
      <c r="A79" t="s">
        <v>160</v>
      </c>
      <c r="B79">
        <v>1</v>
      </c>
      <c r="C79" t="s">
        <v>6</v>
      </c>
      <c r="D79" t="s">
        <v>6</v>
      </c>
      <c r="E79" t="s">
        <v>6</v>
      </c>
      <c r="F79" t="s">
        <v>6</v>
      </c>
      <c r="G79" t="s">
        <v>6</v>
      </c>
      <c r="H79">
        <v>1</v>
      </c>
    </row>
    <row r="80" spans="1:8" x14ac:dyDescent="0.25">
      <c r="A80" t="s">
        <v>161</v>
      </c>
      <c r="B80" t="s">
        <v>6</v>
      </c>
      <c r="C80" t="s">
        <v>6</v>
      </c>
      <c r="D80">
        <v>2</v>
      </c>
      <c r="E80" t="s">
        <v>6</v>
      </c>
      <c r="F80" t="s">
        <v>6</v>
      </c>
      <c r="G80">
        <v>1</v>
      </c>
      <c r="H80">
        <v>3</v>
      </c>
    </row>
    <row r="81" spans="1:8" x14ac:dyDescent="0.25">
      <c r="A81" t="s">
        <v>162</v>
      </c>
      <c r="B81" t="s">
        <v>6</v>
      </c>
      <c r="C81" t="s">
        <v>6</v>
      </c>
      <c r="D81" t="s">
        <v>6</v>
      </c>
      <c r="E81" t="s">
        <v>6</v>
      </c>
      <c r="F81">
        <v>1</v>
      </c>
      <c r="G81">
        <v>1</v>
      </c>
      <c r="H81">
        <v>2</v>
      </c>
    </row>
    <row r="82" spans="1:8" x14ac:dyDescent="0.25">
      <c r="A82" t="s">
        <v>163</v>
      </c>
      <c r="B82" t="s">
        <v>6</v>
      </c>
      <c r="C82" t="s">
        <v>6</v>
      </c>
      <c r="D82">
        <v>1</v>
      </c>
      <c r="E82" t="s">
        <v>6</v>
      </c>
      <c r="F82" t="s">
        <v>6</v>
      </c>
      <c r="G82">
        <v>1</v>
      </c>
      <c r="H82">
        <v>2</v>
      </c>
    </row>
    <row r="83" spans="1:8" x14ac:dyDescent="0.25">
      <c r="A83" t="s">
        <v>164</v>
      </c>
      <c r="B83" t="s">
        <v>6</v>
      </c>
      <c r="C83" t="s">
        <v>6</v>
      </c>
      <c r="D83" t="s">
        <v>6</v>
      </c>
      <c r="E83">
        <v>1</v>
      </c>
      <c r="F83" t="s">
        <v>6</v>
      </c>
      <c r="G83" t="s">
        <v>6</v>
      </c>
      <c r="H83">
        <v>1</v>
      </c>
    </row>
    <row r="84" spans="1:8" x14ac:dyDescent="0.25">
      <c r="A84" t="s">
        <v>165</v>
      </c>
      <c r="B84" t="s">
        <v>6</v>
      </c>
      <c r="C84" t="s">
        <v>6</v>
      </c>
      <c r="D84">
        <v>1</v>
      </c>
      <c r="E84" t="s">
        <v>6</v>
      </c>
      <c r="F84" t="s">
        <v>6</v>
      </c>
      <c r="G84" t="s">
        <v>6</v>
      </c>
      <c r="H84">
        <v>1</v>
      </c>
    </row>
    <row r="85" spans="1:8" x14ac:dyDescent="0.25">
      <c r="A85" t="s">
        <v>166</v>
      </c>
      <c r="B85">
        <v>1</v>
      </c>
      <c r="C85">
        <v>5</v>
      </c>
      <c r="D85" t="s">
        <v>6</v>
      </c>
      <c r="E85">
        <v>3</v>
      </c>
      <c r="F85">
        <v>1</v>
      </c>
      <c r="G85">
        <v>2</v>
      </c>
      <c r="H85">
        <v>12</v>
      </c>
    </row>
    <row r="86" spans="1:8" x14ac:dyDescent="0.25">
      <c r="A86" t="s">
        <v>167</v>
      </c>
      <c r="B86" t="s">
        <v>6</v>
      </c>
      <c r="C86">
        <v>1</v>
      </c>
      <c r="D86" t="s">
        <v>6</v>
      </c>
      <c r="E86">
        <v>1</v>
      </c>
      <c r="F86">
        <v>1</v>
      </c>
      <c r="G86">
        <v>1</v>
      </c>
      <c r="H86">
        <v>4</v>
      </c>
    </row>
    <row r="87" spans="1:8" x14ac:dyDescent="0.25">
      <c r="A87" t="s">
        <v>168</v>
      </c>
      <c r="B87" t="s">
        <v>6</v>
      </c>
      <c r="C87" t="s">
        <v>6</v>
      </c>
      <c r="D87" t="s">
        <v>6</v>
      </c>
      <c r="E87">
        <v>1</v>
      </c>
      <c r="F87" t="s">
        <v>6</v>
      </c>
      <c r="G87" t="s">
        <v>6</v>
      </c>
      <c r="H87">
        <v>1</v>
      </c>
    </row>
    <row r="88" spans="1:8" x14ac:dyDescent="0.25">
      <c r="A88" t="s">
        <v>169</v>
      </c>
      <c r="B88" t="s">
        <v>6</v>
      </c>
      <c r="C88">
        <v>1</v>
      </c>
      <c r="D88" t="s">
        <v>6</v>
      </c>
      <c r="E88" t="s">
        <v>6</v>
      </c>
      <c r="F88" t="s">
        <v>6</v>
      </c>
      <c r="G88" t="s">
        <v>6</v>
      </c>
      <c r="H88">
        <v>1</v>
      </c>
    </row>
    <row r="89" spans="1:8" x14ac:dyDescent="0.25">
      <c r="A89" t="s">
        <v>170</v>
      </c>
      <c r="B89" t="s">
        <v>6</v>
      </c>
      <c r="C89" t="s">
        <v>6</v>
      </c>
      <c r="D89" t="s">
        <v>6</v>
      </c>
      <c r="E89">
        <v>1</v>
      </c>
      <c r="F89" t="s">
        <v>6</v>
      </c>
      <c r="G89" t="s">
        <v>6</v>
      </c>
      <c r="H89">
        <v>1</v>
      </c>
    </row>
    <row r="90" spans="1:8" x14ac:dyDescent="0.25">
      <c r="A90" t="s">
        <v>171</v>
      </c>
      <c r="B90">
        <v>1</v>
      </c>
      <c r="C90" t="s">
        <v>6</v>
      </c>
      <c r="D90" t="s">
        <v>6</v>
      </c>
      <c r="E90" t="s">
        <v>6</v>
      </c>
      <c r="F90" t="s">
        <v>6</v>
      </c>
      <c r="G90" t="s">
        <v>6</v>
      </c>
      <c r="H90">
        <v>1</v>
      </c>
    </row>
    <row r="91" spans="1:8" x14ac:dyDescent="0.25">
      <c r="A91" t="s">
        <v>172</v>
      </c>
      <c r="B91" t="s">
        <v>6</v>
      </c>
      <c r="C91">
        <v>2</v>
      </c>
      <c r="D91" t="s">
        <v>6</v>
      </c>
      <c r="E91" t="s">
        <v>6</v>
      </c>
      <c r="F91" t="s">
        <v>6</v>
      </c>
      <c r="G91" t="s">
        <v>6</v>
      </c>
      <c r="H91">
        <v>2</v>
      </c>
    </row>
    <row r="92" spans="1:8" x14ac:dyDescent="0.25">
      <c r="A92" t="s">
        <v>173</v>
      </c>
      <c r="B92" t="s">
        <v>6</v>
      </c>
      <c r="C92" t="s">
        <v>6</v>
      </c>
      <c r="D92" t="s">
        <v>6</v>
      </c>
      <c r="E92" t="s">
        <v>6</v>
      </c>
      <c r="F92" t="s">
        <v>6</v>
      </c>
      <c r="G92">
        <v>1</v>
      </c>
      <c r="H92">
        <v>1</v>
      </c>
    </row>
    <row r="93" spans="1:8" x14ac:dyDescent="0.25">
      <c r="A93" t="s">
        <v>174</v>
      </c>
      <c r="B93" t="s">
        <v>6</v>
      </c>
      <c r="C93">
        <v>1</v>
      </c>
      <c r="D93" t="s">
        <v>6</v>
      </c>
      <c r="E93" t="s">
        <v>6</v>
      </c>
      <c r="F93" t="s">
        <v>6</v>
      </c>
      <c r="G93" t="s">
        <v>6</v>
      </c>
      <c r="H93">
        <v>1</v>
      </c>
    </row>
    <row r="94" spans="1:8" x14ac:dyDescent="0.25">
      <c r="A94" t="s">
        <v>175</v>
      </c>
      <c r="B94">
        <v>4</v>
      </c>
      <c r="C94" t="s">
        <v>6</v>
      </c>
      <c r="D94">
        <v>1</v>
      </c>
      <c r="E94">
        <v>1</v>
      </c>
      <c r="F94" t="s">
        <v>6</v>
      </c>
      <c r="G94" t="s">
        <v>6</v>
      </c>
      <c r="H94">
        <v>6</v>
      </c>
    </row>
    <row r="95" spans="1:8" x14ac:dyDescent="0.25">
      <c r="A95" t="s">
        <v>176</v>
      </c>
      <c r="B95">
        <v>1</v>
      </c>
      <c r="C95" t="s">
        <v>6</v>
      </c>
      <c r="D95" t="s">
        <v>6</v>
      </c>
      <c r="E95" t="s">
        <v>6</v>
      </c>
      <c r="F95" t="s">
        <v>6</v>
      </c>
      <c r="G95" t="s">
        <v>6</v>
      </c>
      <c r="H95">
        <v>1</v>
      </c>
    </row>
    <row r="96" spans="1:8" x14ac:dyDescent="0.25">
      <c r="A96" t="s">
        <v>177</v>
      </c>
      <c r="B96">
        <v>1</v>
      </c>
      <c r="C96" t="s">
        <v>6</v>
      </c>
      <c r="D96" t="s">
        <v>6</v>
      </c>
      <c r="E96">
        <v>1</v>
      </c>
      <c r="F96" t="s">
        <v>6</v>
      </c>
      <c r="G96" t="s">
        <v>6</v>
      </c>
      <c r="H96">
        <v>2</v>
      </c>
    </row>
    <row r="97" spans="1:8" x14ac:dyDescent="0.25">
      <c r="A97" t="s">
        <v>178</v>
      </c>
      <c r="B97">
        <v>1</v>
      </c>
      <c r="C97" t="s">
        <v>6</v>
      </c>
      <c r="D97" t="s">
        <v>6</v>
      </c>
      <c r="E97" t="s">
        <v>6</v>
      </c>
      <c r="F97" t="s">
        <v>6</v>
      </c>
      <c r="G97" t="s">
        <v>6</v>
      </c>
      <c r="H97">
        <v>1</v>
      </c>
    </row>
    <row r="98" spans="1:8" x14ac:dyDescent="0.25">
      <c r="A98" t="s">
        <v>179</v>
      </c>
      <c r="B98" t="s">
        <v>6</v>
      </c>
      <c r="C98" t="s">
        <v>6</v>
      </c>
      <c r="D98">
        <v>1</v>
      </c>
      <c r="E98" t="s">
        <v>6</v>
      </c>
      <c r="F98" t="s">
        <v>6</v>
      </c>
      <c r="G98" t="s">
        <v>6</v>
      </c>
      <c r="H98">
        <v>1</v>
      </c>
    </row>
    <row r="99" spans="1:8" x14ac:dyDescent="0.25">
      <c r="A99" t="s">
        <v>180</v>
      </c>
      <c r="B99">
        <v>1</v>
      </c>
      <c r="C99" t="s">
        <v>6</v>
      </c>
      <c r="D99" t="s">
        <v>6</v>
      </c>
      <c r="E99" t="s">
        <v>6</v>
      </c>
      <c r="F99" t="s">
        <v>6</v>
      </c>
      <c r="G99" t="s">
        <v>6</v>
      </c>
      <c r="H99">
        <v>1</v>
      </c>
    </row>
    <row r="100" spans="1:8" x14ac:dyDescent="0.25">
      <c r="A100" t="s">
        <v>181</v>
      </c>
      <c r="B100">
        <v>2</v>
      </c>
      <c r="C100">
        <v>2</v>
      </c>
      <c r="D100">
        <v>5</v>
      </c>
      <c r="E100">
        <v>6</v>
      </c>
      <c r="F100">
        <v>1</v>
      </c>
      <c r="G100">
        <v>2</v>
      </c>
      <c r="H100">
        <v>18</v>
      </c>
    </row>
    <row r="101" spans="1:8" x14ac:dyDescent="0.25">
      <c r="A101" t="s">
        <v>182</v>
      </c>
      <c r="B101" t="s">
        <v>6</v>
      </c>
      <c r="C101" t="s">
        <v>6</v>
      </c>
      <c r="D101" t="s">
        <v>6</v>
      </c>
      <c r="E101">
        <v>1</v>
      </c>
      <c r="F101" t="s">
        <v>6</v>
      </c>
      <c r="G101" t="s">
        <v>6</v>
      </c>
      <c r="H101">
        <v>1</v>
      </c>
    </row>
    <row r="102" spans="1:8" x14ac:dyDescent="0.25">
      <c r="A102" t="s">
        <v>183</v>
      </c>
      <c r="B102" t="s">
        <v>6</v>
      </c>
      <c r="C102" t="s">
        <v>6</v>
      </c>
      <c r="D102">
        <v>1</v>
      </c>
      <c r="E102">
        <v>1</v>
      </c>
      <c r="F102" t="s">
        <v>6</v>
      </c>
      <c r="G102" t="s">
        <v>6</v>
      </c>
      <c r="H102">
        <v>2</v>
      </c>
    </row>
    <row r="103" spans="1:8" x14ac:dyDescent="0.25">
      <c r="A103" t="s">
        <v>184</v>
      </c>
      <c r="B103" t="s">
        <v>6</v>
      </c>
      <c r="C103" t="s">
        <v>6</v>
      </c>
      <c r="D103">
        <v>1</v>
      </c>
      <c r="E103">
        <v>1</v>
      </c>
      <c r="F103">
        <v>1</v>
      </c>
      <c r="G103">
        <v>1</v>
      </c>
      <c r="H103">
        <v>4</v>
      </c>
    </row>
    <row r="104" spans="1:8" x14ac:dyDescent="0.25">
      <c r="A104" t="s">
        <v>185</v>
      </c>
      <c r="B104">
        <v>1</v>
      </c>
      <c r="C104">
        <v>1</v>
      </c>
      <c r="D104">
        <v>1</v>
      </c>
      <c r="E104" t="s">
        <v>6</v>
      </c>
      <c r="F104" t="s">
        <v>6</v>
      </c>
      <c r="G104">
        <v>1</v>
      </c>
      <c r="H104">
        <v>4</v>
      </c>
    </row>
    <row r="105" spans="1:8" x14ac:dyDescent="0.25">
      <c r="A105" t="s">
        <v>186</v>
      </c>
      <c r="B105" t="s">
        <v>6</v>
      </c>
      <c r="C105">
        <v>1</v>
      </c>
      <c r="D105" t="s">
        <v>6</v>
      </c>
      <c r="E105" t="s">
        <v>6</v>
      </c>
      <c r="F105" t="s">
        <v>6</v>
      </c>
      <c r="G105" t="s">
        <v>6</v>
      </c>
      <c r="H105">
        <v>1</v>
      </c>
    </row>
    <row r="106" spans="1:8" x14ac:dyDescent="0.25">
      <c r="A106" t="s">
        <v>187</v>
      </c>
      <c r="B106" t="s">
        <v>6</v>
      </c>
      <c r="C106" t="s">
        <v>6</v>
      </c>
      <c r="D106">
        <v>1</v>
      </c>
      <c r="E106" t="s">
        <v>6</v>
      </c>
      <c r="F106" t="s">
        <v>6</v>
      </c>
      <c r="G106" t="s">
        <v>6</v>
      </c>
      <c r="H106">
        <v>1</v>
      </c>
    </row>
    <row r="107" spans="1:8" x14ac:dyDescent="0.25">
      <c r="A107" t="s">
        <v>188</v>
      </c>
      <c r="B107" t="s">
        <v>6</v>
      </c>
      <c r="C107" t="s">
        <v>6</v>
      </c>
      <c r="D107" t="s">
        <v>6</v>
      </c>
      <c r="E107">
        <v>1</v>
      </c>
      <c r="F107" t="s">
        <v>6</v>
      </c>
      <c r="G107" t="s">
        <v>6</v>
      </c>
      <c r="H107">
        <v>1</v>
      </c>
    </row>
    <row r="108" spans="1:8" x14ac:dyDescent="0.25">
      <c r="A108" t="s">
        <v>189</v>
      </c>
      <c r="B108">
        <v>1</v>
      </c>
      <c r="C108" t="s">
        <v>6</v>
      </c>
      <c r="D108" t="s">
        <v>6</v>
      </c>
      <c r="E108" t="s">
        <v>6</v>
      </c>
      <c r="F108" t="s">
        <v>6</v>
      </c>
      <c r="G108" t="s">
        <v>6</v>
      </c>
      <c r="H108">
        <v>1</v>
      </c>
    </row>
    <row r="109" spans="1:8" x14ac:dyDescent="0.25">
      <c r="A109" t="s">
        <v>190</v>
      </c>
      <c r="B109" t="s">
        <v>6</v>
      </c>
      <c r="C109" t="s">
        <v>6</v>
      </c>
      <c r="D109" t="s">
        <v>6</v>
      </c>
      <c r="E109">
        <v>1</v>
      </c>
      <c r="F109" t="s">
        <v>6</v>
      </c>
      <c r="G109" t="s">
        <v>6</v>
      </c>
      <c r="H109">
        <v>1</v>
      </c>
    </row>
    <row r="110" spans="1:8" x14ac:dyDescent="0.25">
      <c r="A110" t="s">
        <v>191</v>
      </c>
      <c r="B110" t="s">
        <v>6</v>
      </c>
      <c r="C110" t="s">
        <v>6</v>
      </c>
      <c r="D110">
        <v>1</v>
      </c>
      <c r="E110" t="s">
        <v>6</v>
      </c>
      <c r="F110" t="s">
        <v>6</v>
      </c>
      <c r="G110" t="s">
        <v>6</v>
      </c>
      <c r="H110">
        <v>1</v>
      </c>
    </row>
    <row r="111" spans="1:8" x14ac:dyDescent="0.25">
      <c r="A111" t="s">
        <v>192</v>
      </c>
      <c r="B111" t="s">
        <v>6</v>
      </c>
      <c r="C111" t="s">
        <v>6</v>
      </c>
      <c r="D111" t="s">
        <v>6</v>
      </c>
      <c r="E111">
        <v>1</v>
      </c>
      <c r="F111" t="s">
        <v>6</v>
      </c>
      <c r="G111" t="s">
        <v>6</v>
      </c>
      <c r="H111">
        <v>1</v>
      </c>
    </row>
    <row r="112" spans="1:8" x14ac:dyDescent="0.25">
      <c r="A112" t="s">
        <v>193</v>
      </c>
      <c r="B112" t="s">
        <v>6</v>
      </c>
      <c r="C112">
        <v>1</v>
      </c>
      <c r="D112">
        <v>4</v>
      </c>
      <c r="E112">
        <v>3</v>
      </c>
      <c r="F112" t="s">
        <v>6</v>
      </c>
      <c r="G112">
        <v>1</v>
      </c>
      <c r="H112">
        <v>9</v>
      </c>
    </row>
    <row r="113" spans="1:8" x14ac:dyDescent="0.25">
      <c r="A113" t="s">
        <v>194</v>
      </c>
      <c r="B113" t="s">
        <v>6</v>
      </c>
      <c r="C113" t="s">
        <v>6</v>
      </c>
      <c r="D113">
        <v>1</v>
      </c>
      <c r="E113" t="s">
        <v>6</v>
      </c>
      <c r="F113" t="s">
        <v>6</v>
      </c>
      <c r="G113" t="s">
        <v>6</v>
      </c>
      <c r="H113">
        <v>1</v>
      </c>
    </row>
    <row r="114" spans="1:8" x14ac:dyDescent="0.25">
      <c r="A114" t="s">
        <v>195</v>
      </c>
      <c r="B114" t="s">
        <v>6</v>
      </c>
      <c r="C114" t="s">
        <v>6</v>
      </c>
      <c r="D114" t="s">
        <v>6</v>
      </c>
      <c r="E114">
        <v>1</v>
      </c>
      <c r="F114" t="s">
        <v>6</v>
      </c>
      <c r="G114" t="s">
        <v>6</v>
      </c>
      <c r="H114">
        <v>1</v>
      </c>
    </row>
    <row r="115" spans="1:8" x14ac:dyDescent="0.25">
      <c r="A115" t="s">
        <v>196</v>
      </c>
      <c r="B115" t="s">
        <v>6</v>
      </c>
      <c r="C115">
        <v>1</v>
      </c>
      <c r="D115">
        <v>1</v>
      </c>
      <c r="E115">
        <v>1</v>
      </c>
      <c r="F115" t="s">
        <v>6</v>
      </c>
      <c r="G115">
        <v>1</v>
      </c>
      <c r="H115">
        <v>4</v>
      </c>
    </row>
    <row r="116" spans="1:8" x14ac:dyDescent="0.25">
      <c r="A116" t="s">
        <v>197</v>
      </c>
      <c r="B116" t="s">
        <v>6</v>
      </c>
      <c r="C116" t="s">
        <v>6</v>
      </c>
      <c r="D116">
        <v>1</v>
      </c>
      <c r="E116" t="s">
        <v>6</v>
      </c>
      <c r="F116" t="s">
        <v>6</v>
      </c>
      <c r="G116" t="s">
        <v>6</v>
      </c>
      <c r="H116">
        <v>1</v>
      </c>
    </row>
    <row r="117" spans="1:8" x14ac:dyDescent="0.25">
      <c r="A117" t="s">
        <v>198</v>
      </c>
      <c r="B117" t="s">
        <v>6</v>
      </c>
      <c r="C117" t="s">
        <v>6</v>
      </c>
      <c r="D117">
        <v>1</v>
      </c>
      <c r="E117">
        <v>1</v>
      </c>
      <c r="F117" t="s">
        <v>6</v>
      </c>
      <c r="G117" t="s">
        <v>6</v>
      </c>
      <c r="H117">
        <v>2</v>
      </c>
    </row>
    <row r="118" spans="1:8" x14ac:dyDescent="0.25">
      <c r="A118" t="s">
        <v>4</v>
      </c>
      <c r="B118">
        <v>41</v>
      </c>
      <c r="C118">
        <v>40</v>
      </c>
      <c r="D118">
        <v>59</v>
      </c>
      <c r="E118">
        <v>37</v>
      </c>
      <c r="F118">
        <v>23</v>
      </c>
      <c r="G118">
        <v>35</v>
      </c>
      <c r="H118">
        <v>235</v>
      </c>
    </row>
    <row r="119" spans="1:8" x14ac:dyDescent="0.25">
      <c r="A119" t="s">
        <v>38</v>
      </c>
    </row>
    <row r="120" spans="1:8" x14ac:dyDescent="0.25">
      <c r="A120" t="s">
        <v>39</v>
      </c>
    </row>
    <row r="121" spans="1:8" x14ac:dyDescent="0.25">
      <c r="A121" t="s">
        <v>40</v>
      </c>
    </row>
    <row r="122" spans="1:8" x14ac:dyDescent="0.25">
      <c r="A122" t="s">
        <v>41</v>
      </c>
    </row>
    <row r="123" spans="1:8" x14ac:dyDescent="0.25">
      <c r="A123" t="s">
        <v>42</v>
      </c>
    </row>
    <row r="124" spans="1:8" x14ac:dyDescent="0.25">
      <c r="A124" t="s">
        <v>43</v>
      </c>
    </row>
    <row r="125" spans="1:8" x14ac:dyDescent="0.25">
      <c r="A125" t="s">
        <v>44</v>
      </c>
    </row>
    <row r="126" spans="1:8" x14ac:dyDescent="0.25">
      <c r="A126" t="s">
        <v>45</v>
      </c>
    </row>
    <row r="127" spans="1:8" x14ac:dyDescent="0.25">
      <c r="A127" t="s">
        <v>46</v>
      </c>
    </row>
    <row r="128" spans="1:8" x14ac:dyDescent="0.25">
      <c r="A128" t="s">
        <v>47</v>
      </c>
    </row>
    <row r="129" spans="1:1" x14ac:dyDescent="0.25">
      <c r="A129" t="s">
        <v>48</v>
      </c>
    </row>
    <row r="130" spans="1:1" x14ac:dyDescent="0.25">
      <c r="A130" t="s">
        <v>49</v>
      </c>
    </row>
    <row r="131" spans="1:1" x14ac:dyDescent="0.25">
      <c r="A131" t="s">
        <v>50</v>
      </c>
    </row>
    <row r="132" spans="1:1" x14ac:dyDescent="0.25">
      <c r="A132" t="s">
        <v>51</v>
      </c>
    </row>
    <row r="133" spans="1:1" x14ac:dyDescent="0.25">
      <c r="A133" t="s">
        <v>52</v>
      </c>
    </row>
    <row r="134" spans="1:1" x14ac:dyDescent="0.25">
      <c r="A134" t="s">
        <v>53</v>
      </c>
    </row>
    <row r="135" spans="1:1" x14ac:dyDescent="0.25">
      <c r="A135" t="s">
        <v>40</v>
      </c>
    </row>
    <row r="136" spans="1:1" x14ac:dyDescent="0.25">
      <c r="A136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38"/>
  <sheetViews>
    <sheetView topLeftCell="Q4" workbookViewId="0">
      <selection activeCell="Z9" sqref="Z9:AG11"/>
    </sheetView>
  </sheetViews>
  <sheetFormatPr defaultRowHeight="15" x14ac:dyDescent="0.25"/>
  <cols>
    <col min="1" max="1" width="41.140625" customWidth="1"/>
    <col min="8" max="8" width="26.5703125" customWidth="1"/>
    <col min="12" max="12" width="29.5703125" customWidth="1"/>
    <col min="22" max="22" width="29.7109375" customWidth="1"/>
    <col min="26" max="26" width="15.7109375" customWidth="1"/>
  </cols>
  <sheetData>
    <row r="1" spans="1:34" x14ac:dyDescent="0.25">
      <c r="A1" t="s">
        <v>199</v>
      </c>
    </row>
    <row r="2" spans="1:34" x14ac:dyDescent="0.25">
      <c r="A2" t="s">
        <v>200</v>
      </c>
    </row>
    <row r="3" spans="1:34" x14ac:dyDescent="0.25">
      <c r="A3" t="s">
        <v>2</v>
      </c>
    </row>
    <row r="4" spans="1:34" x14ac:dyDescent="0.25">
      <c r="A4" s="3" t="s">
        <v>201</v>
      </c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 t="s">
        <v>211</v>
      </c>
      <c r="I4">
        <v>2025</v>
      </c>
      <c r="J4">
        <v>2026</v>
      </c>
      <c r="L4" t="s">
        <v>89</v>
      </c>
      <c r="M4" s="3">
        <v>2019</v>
      </c>
      <c r="N4" s="3">
        <v>2020</v>
      </c>
      <c r="O4" s="3">
        <v>2021</v>
      </c>
      <c r="P4" s="3">
        <v>2022</v>
      </c>
      <c r="Q4" s="3">
        <v>2023</v>
      </c>
      <c r="R4" s="3">
        <v>2024</v>
      </c>
      <c r="S4" s="3">
        <v>2025</v>
      </c>
      <c r="T4" s="3">
        <v>2026</v>
      </c>
      <c r="U4" s="3"/>
      <c r="V4" t="s">
        <v>211</v>
      </c>
      <c r="W4">
        <v>2025</v>
      </c>
      <c r="X4">
        <v>2026</v>
      </c>
    </row>
    <row r="5" spans="1:34" x14ac:dyDescent="0.25">
      <c r="A5" t="s">
        <v>90</v>
      </c>
      <c r="B5" s="14">
        <v>2040</v>
      </c>
      <c r="C5" s="14">
        <v>1813</v>
      </c>
      <c r="D5" s="14">
        <v>1915</v>
      </c>
      <c r="E5" s="14">
        <v>1624</v>
      </c>
      <c r="F5" s="14">
        <v>1664</v>
      </c>
      <c r="G5" s="14">
        <v>1516</v>
      </c>
      <c r="H5" t="s">
        <v>212</v>
      </c>
      <c r="I5">
        <v>1608</v>
      </c>
      <c r="J5">
        <v>547</v>
      </c>
      <c r="L5" t="s">
        <v>90</v>
      </c>
      <c r="M5" s="3">
        <v>1</v>
      </c>
      <c r="N5" s="3">
        <v>4</v>
      </c>
      <c r="O5" s="3" t="s">
        <v>6</v>
      </c>
      <c r="P5" s="3">
        <v>2</v>
      </c>
      <c r="Q5" s="3">
        <v>2</v>
      </c>
      <c r="R5" s="3">
        <v>2</v>
      </c>
      <c r="S5" s="3"/>
      <c r="T5" s="4"/>
      <c r="U5" s="4"/>
      <c r="V5" t="s">
        <v>212</v>
      </c>
      <c r="W5">
        <v>1608</v>
      </c>
      <c r="X5">
        <v>547</v>
      </c>
    </row>
    <row r="6" spans="1:34" x14ac:dyDescent="0.25">
      <c r="A6" t="s">
        <v>97</v>
      </c>
      <c r="B6" s="14">
        <v>3123</v>
      </c>
      <c r="C6" s="14">
        <v>2954</v>
      </c>
      <c r="D6" s="14">
        <v>3214</v>
      </c>
      <c r="E6" s="14">
        <v>2843</v>
      </c>
      <c r="F6" s="14">
        <v>2820</v>
      </c>
      <c r="G6" s="14">
        <v>2716</v>
      </c>
      <c r="H6" t="s">
        <v>213</v>
      </c>
      <c r="I6">
        <v>2774</v>
      </c>
      <c r="J6">
        <v>899</v>
      </c>
      <c r="L6" t="s">
        <v>97</v>
      </c>
      <c r="M6" s="3">
        <v>3</v>
      </c>
      <c r="N6" s="3">
        <v>3</v>
      </c>
      <c r="O6" s="3">
        <v>3</v>
      </c>
      <c r="P6" s="3">
        <v>5</v>
      </c>
      <c r="Q6" s="3">
        <v>1</v>
      </c>
      <c r="R6" s="3">
        <v>6</v>
      </c>
      <c r="S6" s="3"/>
      <c r="T6" s="4"/>
      <c r="U6" s="4"/>
      <c r="V6" t="s">
        <v>213</v>
      </c>
      <c r="W6">
        <v>2774</v>
      </c>
      <c r="X6">
        <v>899</v>
      </c>
      <c r="AA6" s="3">
        <v>2019</v>
      </c>
      <c r="AB6" s="3">
        <v>2020</v>
      </c>
      <c r="AC6" s="3">
        <v>2021</v>
      </c>
      <c r="AD6" s="3">
        <v>2022</v>
      </c>
      <c r="AE6" s="3">
        <v>2023</v>
      </c>
      <c r="AF6" s="3">
        <v>2024</v>
      </c>
      <c r="AG6" s="3">
        <v>2025</v>
      </c>
      <c r="AH6" s="3"/>
    </row>
    <row r="7" spans="1:34" x14ac:dyDescent="0.25">
      <c r="A7" t="s">
        <v>111</v>
      </c>
      <c r="B7" s="14">
        <v>5622</v>
      </c>
      <c r="C7" s="14">
        <v>5504</v>
      </c>
      <c r="D7" s="14">
        <v>5642</v>
      </c>
      <c r="E7" s="14">
        <v>5172</v>
      </c>
      <c r="F7" s="14">
        <v>5204</v>
      </c>
      <c r="G7" s="14">
        <v>5037</v>
      </c>
      <c r="H7" t="s">
        <v>214</v>
      </c>
      <c r="I7">
        <v>4984</v>
      </c>
      <c r="J7">
        <v>1772</v>
      </c>
      <c r="L7" s="12" t="s">
        <v>111</v>
      </c>
      <c r="M7" s="13">
        <v>5</v>
      </c>
      <c r="N7" s="13">
        <v>5</v>
      </c>
      <c r="O7" s="13">
        <v>7</v>
      </c>
      <c r="P7" s="13">
        <v>2</v>
      </c>
      <c r="Q7" s="13">
        <v>1</v>
      </c>
      <c r="R7" s="13">
        <v>3</v>
      </c>
      <c r="S7" s="13">
        <v>0</v>
      </c>
      <c r="T7" s="4"/>
      <c r="U7" s="4"/>
      <c r="V7" t="s">
        <v>214</v>
      </c>
      <c r="W7">
        <v>4984</v>
      </c>
      <c r="X7">
        <v>1772</v>
      </c>
      <c r="Z7" s="12" t="s">
        <v>226</v>
      </c>
      <c r="AA7" s="13">
        <v>5</v>
      </c>
      <c r="AB7" s="13">
        <v>5</v>
      </c>
      <c r="AC7" s="13">
        <v>7</v>
      </c>
      <c r="AD7" s="13">
        <v>2</v>
      </c>
      <c r="AE7" s="13">
        <v>1</v>
      </c>
      <c r="AF7" s="13">
        <v>3</v>
      </c>
      <c r="AG7" s="13">
        <v>0</v>
      </c>
    </row>
    <row r="8" spans="1:34" x14ac:dyDescent="0.25">
      <c r="A8" t="s">
        <v>125</v>
      </c>
      <c r="B8" s="14">
        <v>19173</v>
      </c>
      <c r="C8" s="14">
        <v>17740</v>
      </c>
      <c r="D8" s="14">
        <v>17545</v>
      </c>
      <c r="E8" s="14">
        <v>16351</v>
      </c>
      <c r="F8" s="14">
        <v>16235</v>
      </c>
      <c r="G8" s="14">
        <v>14980</v>
      </c>
      <c r="H8" t="s">
        <v>215</v>
      </c>
      <c r="I8">
        <v>15402</v>
      </c>
      <c r="J8">
        <v>6070</v>
      </c>
      <c r="L8" t="s">
        <v>125</v>
      </c>
      <c r="M8" s="3">
        <v>15</v>
      </c>
      <c r="N8" s="3">
        <v>11</v>
      </c>
      <c r="O8" s="3">
        <v>23</v>
      </c>
      <c r="P8" s="3">
        <v>9</v>
      </c>
      <c r="Q8" s="3">
        <v>9</v>
      </c>
      <c r="R8" s="3">
        <v>7</v>
      </c>
      <c r="S8" s="3"/>
      <c r="T8" s="4"/>
      <c r="U8" s="4"/>
      <c r="V8" t="s">
        <v>215</v>
      </c>
      <c r="W8">
        <v>15402</v>
      </c>
      <c r="X8">
        <v>6070</v>
      </c>
      <c r="Z8" t="s">
        <v>225</v>
      </c>
      <c r="AA8" s="3">
        <v>41</v>
      </c>
      <c r="AB8" s="3">
        <v>40</v>
      </c>
      <c r="AC8" s="3">
        <v>59</v>
      </c>
      <c r="AD8" s="3">
        <v>37</v>
      </c>
      <c r="AE8" s="3">
        <v>23</v>
      </c>
      <c r="AF8" s="3">
        <v>35</v>
      </c>
      <c r="AG8" s="3">
        <v>25</v>
      </c>
    </row>
    <row r="9" spans="1:34" x14ac:dyDescent="0.25">
      <c r="A9" t="s">
        <v>140</v>
      </c>
      <c r="B9" s="14">
        <v>4488</v>
      </c>
      <c r="C9" s="14">
        <v>4438</v>
      </c>
      <c r="D9" s="14">
        <v>4225</v>
      </c>
      <c r="E9" s="14">
        <v>3980</v>
      </c>
      <c r="F9" s="14">
        <v>3846</v>
      </c>
      <c r="G9" s="14">
        <v>3719</v>
      </c>
      <c r="H9" t="s">
        <v>216</v>
      </c>
      <c r="I9">
        <v>3724</v>
      </c>
      <c r="J9">
        <v>1103</v>
      </c>
      <c r="L9" t="s">
        <v>140</v>
      </c>
      <c r="M9" s="3">
        <v>3</v>
      </c>
      <c r="N9" s="3">
        <v>2</v>
      </c>
      <c r="O9" s="3">
        <v>5</v>
      </c>
      <c r="P9" s="3">
        <v>2</v>
      </c>
      <c r="Q9" s="3">
        <v>6</v>
      </c>
      <c r="R9" s="3">
        <v>6</v>
      </c>
      <c r="S9" s="3"/>
      <c r="T9" s="4"/>
      <c r="U9" s="4"/>
      <c r="V9" t="s">
        <v>216</v>
      </c>
      <c r="W9">
        <v>3724</v>
      </c>
      <c r="X9">
        <v>1103</v>
      </c>
      <c r="AA9" s="3">
        <v>2019</v>
      </c>
      <c r="AB9" s="3">
        <v>2020</v>
      </c>
      <c r="AC9" s="3">
        <v>2021</v>
      </c>
      <c r="AD9" s="3">
        <v>2022</v>
      </c>
      <c r="AE9" s="3">
        <v>2023</v>
      </c>
      <c r="AF9" s="3">
        <v>2024</v>
      </c>
      <c r="AG9" s="3">
        <v>2025</v>
      </c>
    </row>
    <row r="10" spans="1:34" x14ac:dyDescent="0.25">
      <c r="A10" t="s">
        <v>146</v>
      </c>
      <c r="B10" s="14">
        <v>2299</v>
      </c>
      <c r="C10" s="14">
        <v>2190</v>
      </c>
      <c r="D10" s="14">
        <v>2366</v>
      </c>
      <c r="E10" s="14">
        <v>1981</v>
      </c>
      <c r="F10" s="14">
        <v>2130</v>
      </c>
      <c r="G10" s="14">
        <v>1972</v>
      </c>
      <c r="H10" t="s">
        <v>217</v>
      </c>
      <c r="I10">
        <v>2030</v>
      </c>
      <c r="J10">
        <v>825</v>
      </c>
      <c r="L10" t="s">
        <v>146</v>
      </c>
      <c r="M10" s="3">
        <v>3</v>
      </c>
      <c r="N10" s="3">
        <v>5</v>
      </c>
      <c r="O10" s="3">
        <v>3</v>
      </c>
      <c r="P10" s="3">
        <v>3</v>
      </c>
      <c r="Q10" s="3" t="s">
        <v>6</v>
      </c>
      <c r="R10" s="3" t="s">
        <v>6</v>
      </c>
      <c r="S10" s="3"/>
      <c r="T10" s="4"/>
      <c r="U10" s="4"/>
      <c r="V10" t="s">
        <v>217</v>
      </c>
      <c r="W10">
        <v>2030</v>
      </c>
      <c r="X10">
        <v>825</v>
      </c>
      <c r="Z10" t="s">
        <v>227</v>
      </c>
      <c r="AA10" s="1">
        <f>AA8/AA15*100000</f>
        <v>85.536060751465584</v>
      </c>
      <c r="AB10" s="1">
        <f>AB8/AB15*100000</f>
        <v>88.438833491786241</v>
      </c>
      <c r="AC10" s="1">
        <f>AC8/AC15*100000</f>
        <v>128.32224107181696</v>
      </c>
      <c r="AD10" s="1">
        <f>AD8/AD15*100000</f>
        <v>87.580183208275145</v>
      </c>
      <c r="AE10" s="1">
        <f>AE8/AE15*100000</f>
        <v>54.57479119210327</v>
      </c>
      <c r="AF10" s="1">
        <f>AF8/AF15*100000</f>
        <v>88.167871627578904</v>
      </c>
      <c r="AG10" s="1">
        <f>AG8/AG15*100000</f>
        <v>61.450728805643635</v>
      </c>
    </row>
    <row r="11" spans="1:34" x14ac:dyDescent="0.25">
      <c r="A11" t="s">
        <v>152</v>
      </c>
      <c r="B11" s="14">
        <v>891</v>
      </c>
      <c r="C11" s="14">
        <v>883</v>
      </c>
      <c r="D11" s="14">
        <v>980</v>
      </c>
      <c r="E11" s="14">
        <v>852</v>
      </c>
      <c r="F11" s="14">
        <v>926</v>
      </c>
      <c r="G11" s="14">
        <v>838</v>
      </c>
      <c r="H11" t="s">
        <v>218</v>
      </c>
      <c r="I11">
        <v>871</v>
      </c>
      <c r="J11">
        <v>379</v>
      </c>
      <c r="L11" t="s">
        <v>152</v>
      </c>
      <c r="M11" s="3">
        <v>1</v>
      </c>
      <c r="N11" s="3">
        <v>1</v>
      </c>
      <c r="O11" s="3">
        <v>3</v>
      </c>
      <c r="P11" s="3" t="s">
        <v>6</v>
      </c>
      <c r="Q11" s="3" t="s">
        <v>6</v>
      </c>
      <c r="R11" s="3">
        <v>2</v>
      </c>
      <c r="S11" s="3"/>
      <c r="T11" s="4"/>
      <c r="U11" s="4"/>
      <c r="V11" t="s">
        <v>218</v>
      </c>
      <c r="W11">
        <v>871</v>
      </c>
      <c r="X11">
        <v>379</v>
      </c>
      <c r="Z11" t="s">
        <v>226</v>
      </c>
      <c r="AA11" s="1">
        <f>AA7/AA14*100000</f>
        <v>88.936321593738882</v>
      </c>
      <c r="AB11" s="1">
        <f>AB7/AB14*100000</f>
        <v>90.843023255813947</v>
      </c>
      <c r="AC11" s="1">
        <f>AC7/AC14*100000</f>
        <v>124.06947890818859</v>
      </c>
      <c r="AD11" s="1">
        <f>AD7/AD14*100000</f>
        <v>38.669760247486465</v>
      </c>
      <c r="AE11" s="1">
        <f>AE7/AE14*100000</f>
        <v>19.215987701767872</v>
      </c>
      <c r="AF11" s="1">
        <f>AF7/AF14*100000</f>
        <v>59.559261465157839</v>
      </c>
      <c r="AG11" s="1">
        <f>AG7/AG14*100000</f>
        <v>0</v>
      </c>
    </row>
    <row r="12" spans="1:34" x14ac:dyDescent="0.25">
      <c r="A12" t="s">
        <v>156</v>
      </c>
      <c r="B12" s="14">
        <v>1401</v>
      </c>
      <c r="C12" s="14">
        <v>1313</v>
      </c>
      <c r="D12" s="14">
        <v>1390</v>
      </c>
      <c r="E12" s="14">
        <v>1264</v>
      </c>
      <c r="F12" s="14">
        <v>1278</v>
      </c>
      <c r="G12" s="14">
        <v>1216</v>
      </c>
      <c r="H12" t="s">
        <v>219</v>
      </c>
      <c r="I12">
        <v>1232</v>
      </c>
      <c r="J12">
        <v>416</v>
      </c>
      <c r="L12" t="s">
        <v>156</v>
      </c>
      <c r="M12" s="3">
        <v>3</v>
      </c>
      <c r="N12" s="3">
        <v>1</v>
      </c>
      <c r="O12" s="3">
        <v>5</v>
      </c>
      <c r="P12" s="3">
        <v>1</v>
      </c>
      <c r="Q12" s="3">
        <v>2</v>
      </c>
      <c r="R12" s="3">
        <v>4</v>
      </c>
      <c r="S12" s="3"/>
      <c r="T12" s="4"/>
      <c r="U12" s="4"/>
      <c r="V12" t="s">
        <v>219</v>
      </c>
      <c r="W12">
        <v>1232</v>
      </c>
      <c r="X12">
        <v>416</v>
      </c>
    </row>
    <row r="13" spans="1:34" x14ac:dyDescent="0.25">
      <c r="A13" t="s">
        <v>166</v>
      </c>
      <c r="B13" s="14">
        <v>3038</v>
      </c>
      <c r="C13" s="14">
        <v>2862</v>
      </c>
      <c r="D13" s="14">
        <v>2874</v>
      </c>
      <c r="E13" s="14">
        <v>2787</v>
      </c>
      <c r="F13" s="14">
        <v>2659</v>
      </c>
      <c r="G13" s="14">
        <v>2582</v>
      </c>
      <c r="H13" t="s">
        <v>220</v>
      </c>
      <c r="I13">
        <v>2664</v>
      </c>
      <c r="J13">
        <v>849</v>
      </c>
      <c r="L13" t="s">
        <v>166</v>
      </c>
      <c r="M13" s="3">
        <v>1</v>
      </c>
      <c r="N13" s="3">
        <v>5</v>
      </c>
      <c r="O13" s="3" t="s">
        <v>6</v>
      </c>
      <c r="P13" s="3">
        <v>3</v>
      </c>
      <c r="Q13" s="3">
        <v>1</v>
      </c>
      <c r="R13" s="3">
        <v>2</v>
      </c>
      <c r="S13" s="3"/>
      <c r="T13" s="4"/>
      <c r="U13" s="4"/>
      <c r="V13" t="s">
        <v>220</v>
      </c>
      <c r="W13">
        <v>2664</v>
      </c>
      <c r="X13">
        <v>849</v>
      </c>
    </row>
    <row r="14" spans="1:34" x14ac:dyDescent="0.25">
      <c r="A14" t="s">
        <v>175</v>
      </c>
      <c r="B14" s="14">
        <v>1171</v>
      </c>
      <c r="C14" s="14">
        <v>1150</v>
      </c>
      <c r="D14" s="14">
        <v>1109</v>
      </c>
      <c r="E14" s="14">
        <v>1023</v>
      </c>
      <c r="F14" s="14">
        <v>1015</v>
      </c>
      <c r="G14" s="14">
        <v>999</v>
      </c>
      <c r="H14" t="s">
        <v>221</v>
      </c>
      <c r="I14">
        <v>1124</v>
      </c>
      <c r="J14">
        <v>318</v>
      </c>
      <c r="L14" t="s">
        <v>175</v>
      </c>
      <c r="M14" s="3">
        <v>4</v>
      </c>
      <c r="N14" s="3" t="s">
        <v>6</v>
      </c>
      <c r="O14" s="3">
        <v>1</v>
      </c>
      <c r="P14" s="3">
        <v>1</v>
      </c>
      <c r="Q14" s="3" t="s">
        <v>6</v>
      </c>
      <c r="R14" s="3" t="s">
        <v>6</v>
      </c>
      <c r="S14" s="3"/>
      <c r="T14" s="4"/>
      <c r="U14" s="4"/>
      <c r="V14" t="s">
        <v>221</v>
      </c>
      <c r="W14">
        <v>1124</v>
      </c>
      <c r="X14">
        <v>318</v>
      </c>
      <c r="Z14" t="s">
        <v>111</v>
      </c>
      <c r="AA14" s="14">
        <v>5622</v>
      </c>
      <c r="AB14" s="14">
        <v>5504</v>
      </c>
      <c r="AC14" s="14">
        <v>5642</v>
      </c>
      <c r="AD14" s="14">
        <v>5172</v>
      </c>
      <c r="AE14" s="14">
        <v>5204</v>
      </c>
      <c r="AF14" s="14">
        <v>5037</v>
      </c>
      <c r="AG14">
        <v>4984</v>
      </c>
    </row>
    <row r="15" spans="1:34" x14ac:dyDescent="0.25">
      <c r="A15" t="s">
        <v>181</v>
      </c>
      <c r="B15" s="14">
        <v>2920</v>
      </c>
      <c r="C15" s="14">
        <v>2651</v>
      </c>
      <c r="D15" s="14">
        <v>2868</v>
      </c>
      <c r="E15" s="14">
        <v>2642</v>
      </c>
      <c r="F15" s="14">
        <v>2558</v>
      </c>
      <c r="G15" s="14">
        <v>2495</v>
      </c>
      <c r="H15" t="s">
        <v>222</v>
      </c>
      <c r="I15">
        <v>2539</v>
      </c>
      <c r="J15">
        <v>911</v>
      </c>
      <c r="L15" t="s">
        <v>181</v>
      </c>
      <c r="M15" s="3">
        <v>2</v>
      </c>
      <c r="N15" s="3">
        <v>2</v>
      </c>
      <c r="O15" s="3">
        <v>5</v>
      </c>
      <c r="P15" s="3">
        <v>6</v>
      </c>
      <c r="Q15" s="3">
        <v>1</v>
      </c>
      <c r="R15" s="3">
        <v>2</v>
      </c>
      <c r="S15" s="3"/>
      <c r="T15" s="4"/>
      <c r="U15" s="4"/>
      <c r="V15" t="s">
        <v>222</v>
      </c>
      <c r="W15">
        <v>2539</v>
      </c>
      <c r="X15">
        <v>911</v>
      </c>
      <c r="AA15" s="14">
        <v>47933</v>
      </c>
      <c r="AB15" s="14">
        <v>45229</v>
      </c>
      <c r="AC15" s="14">
        <v>45978</v>
      </c>
      <c r="AD15" s="14">
        <v>42247</v>
      </c>
      <c r="AE15" s="14">
        <v>42144</v>
      </c>
      <c r="AF15" s="14">
        <v>39697</v>
      </c>
      <c r="AG15">
        <v>40683</v>
      </c>
    </row>
    <row r="16" spans="1:34" x14ac:dyDescent="0.25">
      <c r="A16" t="s">
        <v>193</v>
      </c>
      <c r="B16" s="14">
        <v>1765</v>
      </c>
      <c r="C16" s="14">
        <v>1727</v>
      </c>
      <c r="D16" s="14">
        <v>1847</v>
      </c>
      <c r="E16" s="14">
        <v>1725</v>
      </c>
      <c r="F16" s="14">
        <v>1808</v>
      </c>
      <c r="G16" s="14">
        <v>1626</v>
      </c>
      <c r="H16" t="s">
        <v>223</v>
      </c>
      <c r="I16">
        <v>1731</v>
      </c>
      <c r="J16">
        <v>541</v>
      </c>
      <c r="L16" t="s">
        <v>193</v>
      </c>
      <c r="M16" s="3" t="s">
        <v>6</v>
      </c>
      <c r="N16" s="3">
        <v>1</v>
      </c>
      <c r="O16" s="3">
        <v>4</v>
      </c>
      <c r="P16" s="3">
        <v>3</v>
      </c>
      <c r="Q16" s="3" t="s">
        <v>6</v>
      </c>
      <c r="R16" s="3">
        <v>1</v>
      </c>
      <c r="S16" s="3"/>
      <c r="T16" s="4"/>
      <c r="U16" s="4"/>
      <c r="V16" t="s">
        <v>223</v>
      </c>
      <c r="W16">
        <v>1731</v>
      </c>
      <c r="X16">
        <v>541</v>
      </c>
    </row>
    <row r="17" spans="1:24" x14ac:dyDescent="0.25">
      <c r="A17" t="s">
        <v>202</v>
      </c>
      <c r="B17" s="14">
        <v>2</v>
      </c>
      <c r="C17" s="14">
        <v>4</v>
      </c>
      <c r="D17" s="14">
        <v>3</v>
      </c>
      <c r="E17" s="14">
        <v>3</v>
      </c>
      <c r="F17" s="14">
        <v>1</v>
      </c>
      <c r="G17" s="14"/>
      <c r="H17" t="s">
        <v>4</v>
      </c>
      <c r="I17">
        <v>40683</v>
      </c>
      <c r="J17">
        <v>14630</v>
      </c>
      <c r="L17" t="s">
        <v>4</v>
      </c>
      <c r="M17" s="3">
        <v>41</v>
      </c>
      <c r="N17" s="3">
        <v>40</v>
      </c>
      <c r="O17" s="3">
        <v>59</v>
      </c>
      <c r="P17" s="3">
        <v>37</v>
      </c>
      <c r="Q17" s="3">
        <v>23</v>
      </c>
      <c r="R17" s="3">
        <v>35</v>
      </c>
      <c r="S17" s="3">
        <v>25</v>
      </c>
      <c r="T17" s="4"/>
      <c r="U17" s="4"/>
      <c r="V17" t="s">
        <v>224</v>
      </c>
      <c r="W17">
        <v>0</v>
      </c>
      <c r="X17">
        <v>0</v>
      </c>
    </row>
    <row r="18" spans="1:24" x14ac:dyDescent="0.25">
      <c r="A18" t="s">
        <v>4</v>
      </c>
      <c r="B18" s="14">
        <v>47933</v>
      </c>
      <c r="C18" s="14">
        <v>45229</v>
      </c>
      <c r="D18" s="14">
        <v>45978</v>
      </c>
      <c r="E18" s="14">
        <v>42247</v>
      </c>
      <c r="F18" s="14">
        <v>42144</v>
      </c>
      <c r="G18" s="14">
        <v>39697</v>
      </c>
      <c r="M18" s="14">
        <v>47933</v>
      </c>
      <c r="N18" s="14">
        <v>45229</v>
      </c>
      <c r="O18" s="14">
        <v>45978</v>
      </c>
      <c r="P18" s="14">
        <v>42247</v>
      </c>
      <c r="Q18" s="14">
        <v>42144</v>
      </c>
      <c r="R18" s="14">
        <v>39697</v>
      </c>
      <c r="S18" s="4">
        <f>S17/I17*100000</f>
        <v>61.450728805643635</v>
      </c>
      <c r="V18" t="s">
        <v>4</v>
      </c>
      <c r="W18">
        <v>40683</v>
      </c>
      <c r="X18">
        <v>14630</v>
      </c>
    </row>
    <row r="19" spans="1:24" x14ac:dyDescent="0.25">
      <c r="B19" s="14"/>
      <c r="C19" s="14"/>
      <c r="D19" s="14"/>
      <c r="E19" s="14"/>
      <c r="F19" s="14"/>
      <c r="G19" s="14"/>
    </row>
    <row r="20" spans="1:24" x14ac:dyDescent="0.25">
      <c r="B20" s="14"/>
      <c r="C20" s="14"/>
      <c r="D20" s="14"/>
      <c r="E20" s="14"/>
      <c r="F20" s="14"/>
      <c r="G20" s="14"/>
    </row>
    <row r="21" spans="1:24" x14ac:dyDescent="0.25">
      <c r="B21" s="14"/>
      <c r="C21" s="14"/>
      <c r="D21" s="14"/>
      <c r="E21" s="14"/>
      <c r="F21" s="14"/>
      <c r="G21" s="14"/>
      <c r="M21" s="3">
        <v>2019</v>
      </c>
      <c r="N21" s="3">
        <v>2020</v>
      </c>
      <c r="O21" s="3">
        <v>2021</v>
      </c>
      <c r="P21" s="3">
        <v>2022</v>
      </c>
      <c r="Q21" s="3">
        <v>2023</v>
      </c>
      <c r="R21" s="3">
        <v>2024</v>
      </c>
      <c r="S21" s="3">
        <v>2025</v>
      </c>
    </row>
    <row r="22" spans="1:24" x14ac:dyDescent="0.25">
      <c r="B22" s="14"/>
      <c r="C22" s="14"/>
      <c r="D22" s="14"/>
      <c r="E22" s="14"/>
      <c r="F22" s="14"/>
      <c r="G22" s="14"/>
      <c r="L22" t="s">
        <v>210</v>
      </c>
      <c r="M22" s="1">
        <f t="shared" ref="M22:R22" si="0">M17/M18*100000</f>
        <v>85.536060751465584</v>
      </c>
      <c r="N22" s="1">
        <f t="shared" si="0"/>
        <v>88.438833491786241</v>
      </c>
      <c r="O22" s="1">
        <f t="shared" si="0"/>
        <v>128.32224107181696</v>
      </c>
      <c r="P22" s="1">
        <f t="shared" si="0"/>
        <v>87.580183208275145</v>
      </c>
      <c r="Q22" s="1">
        <f t="shared" si="0"/>
        <v>54.57479119210327</v>
      </c>
      <c r="R22" s="1">
        <f t="shared" si="0"/>
        <v>88.167871627578904</v>
      </c>
      <c r="S22">
        <v>61.5</v>
      </c>
    </row>
    <row r="23" spans="1:24" x14ac:dyDescent="0.25">
      <c r="B23" s="14"/>
      <c r="C23" s="14"/>
      <c r="D23" s="14"/>
      <c r="E23" s="14"/>
      <c r="F23" s="14"/>
      <c r="G23" s="14"/>
    </row>
    <row r="24" spans="1:24" x14ac:dyDescent="0.25">
      <c r="B24" s="14"/>
      <c r="C24" s="14"/>
      <c r="D24" s="14"/>
      <c r="E24" s="14"/>
      <c r="F24" s="14"/>
      <c r="G24" s="14"/>
    </row>
    <row r="25" spans="1:24" x14ac:dyDescent="0.25">
      <c r="A25" t="s">
        <v>203</v>
      </c>
    </row>
    <row r="26" spans="1:24" x14ac:dyDescent="0.25">
      <c r="A26" t="s">
        <v>54</v>
      </c>
    </row>
    <row r="27" spans="1:24" x14ac:dyDescent="0.25">
      <c r="A27" t="s">
        <v>39</v>
      </c>
    </row>
    <row r="28" spans="1:24" x14ac:dyDescent="0.25">
      <c r="A28" t="s">
        <v>40</v>
      </c>
    </row>
    <row r="29" spans="1:24" x14ac:dyDescent="0.25">
      <c r="A29" t="s">
        <v>41</v>
      </c>
    </row>
    <row r="30" spans="1:24" x14ac:dyDescent="0.25">
      <c r="A30" t="s">
        <v>204</v>
      </c>
    </row>
    <row r="31" spans="1:24" x14ac:dyDescent="0.25">
      <c r="A31" t="s">
        <v>51</v>
      </c>
    </row>
    <row r="32" spans="1:24" x14ac:dyDescent="0.25">
      <c r="A32" t="s">
        <v>205</v>
      </c>
    </row>
    <row r="33" spans="1:1" x14ac:dyDescent="0.25">
      <c r="A33" t="s">
        <v>40</v>
      </c>
    </row>
    <row r="34" spans="1:1" x14ac:dyDescent="0.25">
      <c r="A34" t="s">
        <v>206</v>
      </c>
    </row>
    <row r="35" spans="1:1" x14ac:dyDescent="0.25">
      <c r="A35" t="s">
        <v>207</v>
      </c>
    </row>
    <row r="36" spans="1:1" x14ac:dyDescent="0.25">
      <c r="A36" t="s">
        <v>208</v>
      </c>
    </row>
    <row r="37" spans="1:1" x14ac:dyDescent="0.25">
      <c r="A37" t="s">
        <v>209</v>
      </c>
    </row>
    <row r="38" spans="1:1" x14ac:dyDescent="0.25">
      <c r="A38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D17"/>
  <sheetViews>
    <sheetView workbookViewId="0">
      <selection activeCell="B3" sqref="B3:D17"/>
    </sheetView>
  </sheetViews>
  <sheetFormatPr defaultRowHeight="15" x14ac:dyDescent="0.25"/>
  <cols>
    <col min="2" max="2" width="44.28515625" customWidth="1"/>
  </cols>
  <sheetData>
    <row r="3" spans="2:4" x14ac:dyDescent="0.25">
      <c r="B3" t="s">
        <v>211</v>
      </c>
      <c r="C3">
        <v>2025</v>
      </c>
      <c r="D3">
        <v>2026</v>
      </c>
    </row>
    <row r="4" spans="2:4" x14ac:dyDescent="0.25">
      <c r="B4" t="s">
        <v>212</v>
      </c>
      <c r="C4">
        <v>1608</v>
      </c>
      <c r="D4">
        <v>547</v>
      </c>
    </row>
    <row r="5" spans="2:4" x14ac:dyDescent="0.25">
      <c r="B5" t="s">
        <v>213</v>
      </c>
      <c r="C5">
        <v>2774</v>
      </c>
      <c r="D5">
        <v>899</v>
      </c>
    </row>
    <row r="6" spans="2:4" x14ac:dyDescent="0.25">
      <c r="B6" t="s">
        <v>214</v>
      </c>
      <c r="C6">
        <v>4984</v>
      </c>
      <c r="D6">
        <v>1772</v>
      </c>
    </row>
    <row r="7" spans="2:4" x14ac:dyDescent="0.25">
      <c r="B7" t="s">
        <v>215</v>
      </c>
      <c r="C7">
        <v>15402</v>
      </c>
      <c r="D7">
        <v>6070</v>
      </c>
    </row>
    <row r="8" spans="2:4" x14ac:dyDescent="0.25">
      <c r="B8" t="s">
        <v>216</v>
      </c>
      <c r="C8">
        <v>3724</v>
      </c>
      <c r="D8">
        <v>1103</v>
      </c>
    </row>
    <row r="9" spans="2:4" x14ac:dyDescent="0.25">
      <c r="B9" t="s">
        <v>217</v>
      </c>
      <c r="C9">
        <v>2030</v>
      </c>
      <c r="D9">
        <v>825</v>
      </c>
    </row>
    <row r="10" spans="2:4" x14ac:dyDescent="0.25">
      <c r="B10" t="s">
        <v>218</v>
      </c>
      <c r="C10">
        <v>871</v>
      </c>
      <c r="D10">
        <v>379</v>
      </c>
    </row>
    <row r="11" spans="2:4" x14ac:dyDescent="0.25">
      <c r="B11" t="s">
        <v>219</v>
      </c>
      <c r="C11">
        <v>1232</v>
      </c>
      <c r="D11">
        <v>416</v>
      </c>
    </row>
    <row r="12" spans="2:4" x14ac:dyDescent="0.25">
      <c r="B12" t="s">
        <v>220</v>
      </c>
      <c r="C12">
        <v>2664</v>
      </c>
      <c r="D12">
        <v>849</v>
      </c>
    </row>
    <row r="13" spans="2:4" x14ac:dyDescent="0.25">
      <c r="B13" t="s">
        <v>221</v>
      </c>
      <c r="C13">
        <v>1124</v>
      </c>
      <c r="D13">
        <v>318</v>
      </c>
    </row>
    <row r="14" spans="2:4" x14ac:dyDescent="0.25">
      <c r="B14" t="s">
        <v>222</v>
      </c>
      <c r="C14">
        <v>2539</v>
      </c>
      <c r="D14">
        <v>911</v>
      </c>
    </row>
    <row r="15" spans="2:4" x14ac:dyDescent="0.25">
      <c r="B15" t="s">
        <v>223</v>
      </c>
      <c r="C15">
        <v>1731</v>
      </c>
      <c r="D15">
        <v>541</v>
      </c>
    </row>
    <row r="16" spans="2:4" x14ac:dyDescent="0.25">
      <c r="B16" t="s">
        <v>224</v>
      </c>
      <c r="C16">
        <v>0</v>
      </c>
      <c r="D16">
        <v>0</v>
      </c>
    </row>
    <row r="17" spans="2:4" x14ac:dyDescent="0.25">
      <c r="B17" t="s">
        <v>4</v>
      </c>
      <c r="C17">
        <v>40683</v>
      </c>
      <c r="D17">
        <v>14630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Gráficos</vt:lpstr>
      </vt:variant>
      <vt:variant>
        <vt:i4>2</vt:i4>
      </vt:variant>
    </vt:vector>
  </HeadingPairs>
  <TitlesOfParts>
    <vt:vector size="15" baseType="lpstr">
      <vt:lpstr>sim_cnv_mat10pi091246191_36_186</vt:lpstr>
      <vt:lpstr>obitos maternos região de s (2)</vt:lpstr>
      <vt:lpstr>obitos causa ano</vt:lpstr>
      <vt:lpstr>obitos causa ano (2)</vt:lpstr>
      <vt:lpstr>fx etaria</vt:lpstr>
      <vt:lpstr>local ocorrencia</vt:lpstr>
      <vt:lpstr>escolaridade</vt:lpstr>
      <vt:lpstr>raça cor</vt:lpstr>
      <vt:lpstr>causa obstetrica</vt:lpstr>
      <vt:lpstr>ob materno investigado</vt:lpstr>
      <vt:lpstr>obitos maternos região de saúde</vt:lpstr>
      <vt:lpstr>nascidso vivos pi</vt:lpstr>
      <vt:lpstr>Planilha12</vt:lpstr>
      <vt:lpstr>graf mm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FIOCRUZ</cp:lastModifiedBy>
  <dcterms:created xsi:type="dcterms:W3CDTF">2026-06-11T12:15:48Z</dcterms:created>
  <dcterms:modified xsi:type="dcterms:W3CDTF">2026-06-11T17:28:36Z</dcterms:modified>
</cp:coreProperties>
</file>